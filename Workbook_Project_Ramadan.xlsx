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ject\Pesanan Ramadhan\"/>
    </mc:Choice>
  </mc:AlternateContent>
  <xr:revisionPtr revIDLastSave="0" documentId="8_{A066E842-41DD-4BDB-BFF1-11B17018E895}" xr6:coauthVersionLast="47" xr6:coauthVersionMax="47" xr10:uidLastSave="{00000000-0000-0000-0000-000000000000}"/>
  <bookViews>
    <workbookView xWindow="-120" yWindow="-120" windowWidth="20730" windowHeight="11040" tabRatio="500" activeTab="4" xr2:uid="{00000000-000D-0000-FFFF-FFFF00000000}"/>
  </bookViews>
  <sheets>
    <sheet name="Raw Data" sheetId="1" r:id="rId1"/>
    <sheet name="Summary" sheetId="2" r:id="rId2"/>
    <sheet name="Product Analysis" sheetId="3" r:id="rId3"/>
    <sheet name="_ChartData" sheetId="4" r:id="rId4"/>
    <sheet name="Dashboard" sheetId="5" r:id="rId5"/>
    <sheet name="Assumptions" sheetId="6" r:id="rId6"/>
  </sheets>
  <definedNames>
    <definedName name="_xlnm._FilterDatabase" localSheetId="0" hidden="1">'Raw Data'!$A$4:$J$36</definedName>
    <definedName name="_xlnm.Print_Area" localSheetId="5">Assumptions!$A$1:$E$24</definedName>
    <definedName name="_xlnm.Print_Area" localSheetId="4">Dashboard!$A$1:$O$52</definedName>
    <definedName name="_xlnm.Print_Area" localSheetId="2">'Product Analysis'!$A$1:$H$28</definedName>
    <definedName name="_xlnm.Print_Area" localSheetId="0">'Raw Data'!$A$1:$K$38</definedName>
    <definedName name="_xlnm.Print_Area" localSheetId="1">Summary!$A$1:$I$22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C19" i="2"/>
  <c r="C18" i="2"/>
  <c r="C17" i="2"/>
  <c r="C20" i="2"/>
  <c r="K5" i="5"/>
  <c r="I5" i="5"/>
  <c r="G5" i="5"/>
  <c r="E5" i="5"/>
  <c r="C5" i="5"/>
  <c r="A5" i="5"/>
  <c r="E5" i="2"/>
  <c r="G5" i="2" s="1"/>
  <c r="L9" i="5"/>
  <c r="E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19" i="2"/>
  <c r="H4" i="4" s="1"/>
  <c r="B17" i="2"/>
  <c r="F12" i="2"/>
  <c r="C12" i="2"/>
  <c r="C4" i="4" s="1"/>
  <c r="F11" i="2"/>
  <c r="G11" i="2" s="1"/>
  <c r="C11" i="2"/>
  <c r="C3" i="4" s="1"/>
  <c r="B11" i="2"/>
  <c r="F10" i="2"/>
  <c r="F13" i="2" s="1"/>
  <c r="B10" i="2"/>
  <c r="B2" i="4" s="1"/>
  <c r="C5" i="2"/>
  <c r="I36" i="1"/>
  <c r="I35" i="1"/>
  <c r="I34" i="1"/>
  <c r="I33" i="1"/>
  <c r="I32" i="1"/>
  <c r="I31" i="1"/>
  <c r="I30" i="1"/>
  <c r="I29" i="1"/>
  <c r="I28" i="1"/>
  <c r="I27" i="1"/>
  <c r="I26" i="1"/>
  <c r="H25" i="1"/>
  <c r="B12" i="2" s="1"/>
  <c r="I24" i="1"/>
  <c r="I23" i="1"/>
  <c r="I22" i="1"/>
  <c r="I21" i="1"/>
  <c r="I20" i="1"/>
  <c r="I19" i="1"/>
  <c r="I18" i="1"/>
  <c r="I17" i="1"/>
  <c r="I16" i="1"/>
  <c r="H15" i="1"/>
  <c r="I14" i="1"/>
  <c r="I13" i="1"/>
  <c r="I12" i="1"/>
  <c r="I11" i="1"/>
  <c r="I10" i="1"/>
  <c r="I9" i="1"/>
  <c r="I8" i="1"/>
  <c r="I7" i="1"/>
  <c r="C10" i="2" s="1"/>
  <c r="I6" i="1"/>
  <c r="H5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G12" i="2" l="1"/>
  <c r="C13" i="2"/>
  <c r="C2" i="4"/>
  <c r="I9" i="5"/>
  <c r="E12" i="2"/>
  <c r="E4" i="4" s="1"/>
  <c r="D12" i="2"/>
  <c r="D4" i="4" s="1"/>
  <c r="B4" i="4"/>
  <c r="G13" i="2"/>
  <c r="G10" i="2"/>
  <c r="B13" i="2"/>
  <c r="E10" i="2"/>
  <c r="E2" i="4" s="1"/>
  <c r="A5" i="2"/>
  <c r="B18" i="2"/>
  <c r="H3" i="4" s="1"/>
  <c r="H2" i="4"/>
  <c r="B3" i="4"/>
  <c r="D11" i="2"/>
  <c r="D3" i="4" s="1"/>
  <c r="D10" i="2"/>
  <c r="D17" i="2" l="1"/>
  <c r="B20" i="2"/>
  <c r="H12" i="2"/>
  <c r="D13" i="2"/>
  <c r="D2" i="4"/>
  <c r="A9" i="5" s="1"/>
  <c r="H10" i="2"/>
  <c r="H11" i="2"/>
  <c r="D19" i="2"/>
  <c r="D18" i="2"/>
  <c r="E11" i="2"/>
  <c r="E3" i="4" s="1"/>
  <c r="E9" i="5" s="1"/>
</calcChain>
</file>

<file path=xl/sharedStrings.xml><?xml version="1.0" encoding="utf-8"?>
<sst xmlns="http://schemas.openxmlformats.org/spreadsheetml/2006/main" count="336" uniqueCount="158">
  <si>
    <t>RAMADAN BEVERAGE PROJECT  |  TRANSACTION LEDGER</t>
  </si>
  <si>
    <t>Date</t>
  </si>
  <si>
    <t>No.</t>
  </si>
  <si>
    <t>Type</t>
  </si>
  <si>
    <t>Category</t>
  </si>
  <si>
    <t>Description</t>
  </si>
  <si>
    <t>Qty (Unit)</t>
  </si>
  <si>
    <t>Unit Price (Rp)</t>
  </si>
  <si>
    <t>Debit (Rp)</t>
  </si>
  <si>
    <t>Credit (Rp)</t>
  </si>
  <si>
    <t>Balance (Rp)</t>
  </si>
  <si>
    <t>2026-02-25</t>
  </si>
  <si>
    <t>Income</t>
  </si>
  <si>
    <t>Sales</t>
  </si>
  <si>
    <t>Beverage Orders</t>
  </si>
  <si>
    <t>Expense</t>
  </si>
  <si>
    <t>Raw Materials</t>
  </si>
  <si>
    <t>Sugar</t>
  </si>
  <si>
    <t>Operational</t>
  </si>
  <si>
    <t>Cup 18 Oz</t>
  </si>
  <si>
    <t>Straw</t>
  </si>
  <si>
    <t>Temulawak</t>
  </si>
  <si>
    <t>Basil Seed</t>
  </si>
  <si>
    <t>Plastic Press</t>
  </si>
  <si>
    <t>Water Gallon</t>
  </si>
  <si>
    <t>Large Ice Block</t>
  </si>
  <si>
    <t>Small Ice Block</t>
  </si>
  <si>
    <t>2026-03-03</t>
  </si>
  <si>
    <t>Grass Jelly</t>
  </si>
  <si>
    <t>Raspberry Flavor</t>
  </si>
  <si>
    <t>Food Coloring</t>
  </si>
  <si>
    <t>Cup 14 Oz</t>
  </si>
  <si>
    <t>Gasoline</t>
  </si>
  <si>
    <t>2026-03-09</t>
  </si>
  <si>
    <t>Cinnamon</t>
  </si>
  <si>
    <t>Shopping Bag + Parking</t>
  </si>
  <si>
    <t>Cup 16 Oz</t>
  </si>
  <si>
    <t>Banana</t>
  </si>
  <si>
    <t>Clove</t>
  </si>
  <si>
    <t>Labor</t>
  </si>
  <si>
    <t>Worker Wages</t>
  </si>
  <si>
    <t>Plastic Sealer</t>
  </si>
  <si>
    <t>NOTE: Blue text = hardcoded inputs | Black text = formulas | Green/bold rows = Income entries | Debit = Cash In | Credit = Cash Out | Balance = Running cumulative</t>
  </si>
  <si>
    <t>RAMADAN BEVERAGE PROJECT  |  FINANCIAL SUMMARY</t>
  </si>
  <si>
    <t>Total Revenue (Rp)</t>
  </si>
  <si>
    <t>Total Cost (Rp)</t>
  </si>
  <si>
    <t>Net Profit (Rp)</t>
  </si>
  <si>
    <t>Profit Margin (%)</t>
  </si>
  <si>
    <t>DAILY SESSION SUMMARY</t>
  </si>
  <si>
    <t>Session Date</t>
  </si>
  <si>
    <t>Revenue (Rp)</t>
  </si>
  <si>
    <t>Margin (%)</t>
  </si>
  <si>
    <t>Units Sold</t>
  </si>
  <si>
    <t>Price / Unit (Rp)</t>
  </si>
  <si>
    <t>Cumulative Profit (Rp)</t>
  </si>
  <si>
    <t>25-Feb-2026</t>
  </si>
  <si>
    <t>03-Mar-2026</t>
  </si>
  <si>
    <t>09-Mar-2026</t>
  </si>
  <si>
    <t>TOTAL / AVERAGE</t>
  </si>
  <si>
    <t>-</t>
  </si>
  <si>
    <t>COST BREAKDOWN BY CATEGORY</t>
  </si>
  <si>
    <t>% of Revenue</t>
  </si>
  <si>
    <t>% of Total Cost</t>
  </si>
  <si>
    <t>TOTAL</t>
  </si>
  <si>
    <t>1</t>
  </si>
  <si>
    <t>PRODUCT &amp; COST ANALYSIS  |  Ingredient &amp; Operational Breakdown</t>
  </si>
  <si>
    <t>Item / Description</t>
  </si>
  <si>
    <t>Total Qty</t>
  </si>
  <si>
    <t>Last Unit Price (Rp)</t>
  </si>
  <si>
    <t>Frequency</t>
  </si>
  <si>
    <t>GRAND TOTAL</t>
  </si>
  <si>
    <t>100.0%</t>
  </si>
  <si>
    <t>Session</t>
  </si>
  <si>
    <t>25-Feb</t>
  </si>
  <si>
    <t>03-Mar</t>
  </si>
  <si>
    <t>09-Mar</t>
  </si>
  <si>
    <t>RAMADAN BEVERAGE PROJECT  |  MANAGEMENT DASHBOARD</t>
  </si>
  <si>
    <t>Total Revenue</t>
  </si>
  <si>
    <t>Total Cost</t>
  </si>
  <si>
    <t>Net Profit</t>
  </si>
  <si>
    <t>Profit Margin</t>
  </si>
  <si>
    <t>Avg Order Value</t>
  </si>
  <si>
    <t>3 Sessions Total</t>
  </si>
  <si>
    <t>All Expenditure</t>
  </si>
  <si>
    <t>Revenue - Cost</t>
  </si>
  <si>
    <t>Avg 3 Sessions</t>
  </si>
  <si>
    <t>Total Cups</t>
  </si>
  <si>
    <t>Revenue / Unit</t>
  </si>
  <si>
    <t>Highest Session Profit</t>
  </si>
  <si>
    <t>Lowest Session Margin</t>
  </si>
  <si>
    <t>Avg Units / Session</t>
  </si>
  <si>
    <t>Sessions Analyzed</t>
  </si>
  <si>
    <t>DAILY SESSION PERFORMANCE  (Revenue, Cost &amp; Profit)</t>
  </si>
  <si>
    <t>PROFIT MARGIN TREND  (%)</t>
  </si>
  <si>
    <t>KEY INSIGHTS &amp; BUSINESS RECOMMENDATIONS</t>
  </si>
  <si>
    <t>Highest Margin Session</t>
  </si>
  <si>
    <t>3 March session achieved 72.3% margin — lowest cost with full volume. Replicate supply planning.</t>
  </si>
  <si>
    <t>Banana Cost Risk</t>
  </si>
  <si>
    <t>9 March: banana costs = 33.7% of total session cost. Negotiate bulk price or source alternative.</t>
  </si>
  <si>
    <t>Pricing Strategy</t>
  </si>
  <si>
    <t>Fixed price of Rp 4,000/cup across all sessions. Consider tiered pricing for premium variants.</t>
  </si>
  <si>
    <t>Volume Target</t>
  </si>
  <si>
    <t>Average 254 cups/session. Target 300 cups/session to improve fixed-cost absorption.</t>
  </si>
  <si>
    <t>Raw Material Dominance</t>
  </si>
  <si>
    <t>Raw materials = 63% of total cost. Bulk procurement and supplier negotiation are priority levers.</t>
  </si>
  <si>
    <t>Break-Even</t>
  </si>
  <si>
    <t>Break-even per session approximately Rp 160,000 (labor only). Achieved within first 40 cups sold.</t>
  </si>
  <si>
    <t>ASSUMPTIONS &amp; OPERATIONAL NOTES</t>
  </si>
  <si>
    <t>All hardcoded inputs are shown in blue. Do not modify formula cells.</t>
  </si>
  <si>
    <t>FINANCIAL ASSUMPTIONS</t>
  </si>
  <si>
    <t>Parameter</t>
  </si>
  <si>
    <t>Value</t>
  </si>
  <si>
    <t>Notes</t>
  </si>
  <si>
    <t>Editable?</t>
  </si>
  <si>
    <t>Selling Price per Cup (Rp)</t>
  </si>
  <si>
    <t>4000</t>
  </si>
  <si>
    <t>Fixed across all sessions</t>
  </si>
  <si>
    <t>Yes</t>
  </si>
  <si>
    <t>Capacity Range (cups/session)</t>
  </si>
  <si>
    <t>241-261</t>
  </si>
  <si>
    <t>Demand-dependent</t>
  </si>
  <si>
    <t>Profit Sharing with Partner</t>
  </si>
  <si>
    <t>50%</t>
  </si>
  <si>
    <t>Split equally between 2 partners</t>
  </si>
  <si>
    <t>Target Cups per Session</t>
  </si>
  <si>
    <t>300</t>
  </si>
  <si>
    <t>Management target for profitability</t>
  </si>
  <si>
    <t>OPERATIONAL NOTES</t>
  </si>
  <si>
    <t>Operating Days</t>
  </si>
  <si>
    <t>Each Ramadan session</t>
  </si>
  <si>
    <t>Update after each session</t>
  </si>
  <si>
    <t>No</t>
  </si>
  <si>
    <t>Consumables</t>
  </si>
  <si>
    <t>Sugar, Ice, Straw, Cup</t>
  </si>
  <si>
    <t>Purchased per session</t>
  </si>
  <si>
    <t>Fixed Labor</t>
  </si>
  <si>
    <t>Rp 50,000 per session</t>
  </si>
  <si>
    <t>Operational assistant cost</t>
  </si>
  <si>
    <t>Data Currency</t>
  </si>
  <si>
    <t>IDR (Indonesian Rupiah)</t>
  </si>
  <si>
    <t>No FX conversion required</t>
  </si>
  <si>
    <t>COLOR CODING GUIDE</t>
  </si>
  <si>
    <t>Blue text</t>
  </si>
  <si>
    <t>Hardcoded inputs / assumptions</t>
  </si>
  <si>
    <t>Values that can be changed by user</t>
  </si>
  <si>
    <t>Black text</t>
  </si>
  <si>
    <t>Formulas / calculations</t>
  </si>
  <si>
    <t>Do not modify directly</t>
  </si>
  <si>
    <t>Green text</t>
  </si>
  <si>
    <t>Cross-sheet formula links</t>
  </si>
  <si>
    <t>Pulls from other worksheets</t>
  </si>
  <si>
    <t>Red text</t>
  </si>
  <si>
    <t>External file links</t>
  </si>
  <si>
    <t>Links to other workbooks</t>
  </si>
  <si>
    <t xml:space="preserve">Ramadan 1447H (2026) |  3 Sessions  </t>
  </si>
  <si>
    <t xml:space="preserve">Period: Ramadan 1447H (2026)  |  Data as of 9 March 2026  |  </t>
  </si>
  <si>
    <t xml:space="preserve">Ramadan 1447H (2026) |  All Sessions Combined  </t>
  </si>
  <si>
    <t>Ramadan 1447H (2026)  |  3 Operational Sessions  | Data as of: 9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</si>
</sst>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#,##0;\(#,##0\);\-"/>
    <numFmt numFmtId="165" formatCode="0.0%"/>
    <numFmt numFmtId="166" formatCode="#,##0.0"/>
  </numFmts>
  <fonts count="38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D6038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b/>
      <sz val="10"/>
      <color rgb="FF000000"/>
      <name val="Calibri"/>
      <charset val="1"/>
    </font>
    <font>
      <i/>
      <sz val="8"/>
      <color rgb="FF595959"/>
      <name val="Calibri"/>
      <charset val="1"/>
    </font>
    <font>
      <b/>
      <sz val="9"/>
      <color rgb="FFFFFFFF"/>
      <name val="Calibri"/>
      <charset val="1"/>
    </font>
    <font>
      <b/>
      <sz val="14"/>
      <color rgb="FF1D6038"/>
      <name val="Calibri"/>
      <charset val="1"/>
    </font>
    <font>
      <b/>
      <sz val="14"/>
      <color rgb="FFC00000"/>
      <name val="Calibri"/>
      <charset val="1"/>
    </font>
    <font>
      <b/>
      <sz val="14"/>
      <color rgb="FF2E75B6"/>
      <name val="Calibri"/>
      <charset val="1"/>
    </font>
    <font>
      <b/>
      <sz val="14"/>
      <color rgb="FFBF8F00"/>
      <name val="Calibri"/>
      <charset val="1"/>
    </font>
    <font>
      <b/>
      <sz val="10"/>
      <color rgb="FF0000FF"/>
      <name val="Calibri"/>
      <charset val="1"/>
    </font>
    <font>
      <b/>
      <sz val="16"/>
      <color rgb="FFFFFFFF"/>
      <name val="Calibri"/>
      <charset val="1"/>
    </font>
    <font>
      <b/>
      <sz val="16"/>
      <color rgb="FF1D6038"/>
      <name val="Calibri"/>
      <charset val="1"/>
    </font>
    <font>
      <b/>
      <sz val="16"/>
      <color rgb="FFC00000"/>
      <name val="Calibri"/>
      <charset val="1"/>
    </font>
    <font>
      <b/>
      <sz val="16"/>
      <color rgb="FF2E75B6"/>
      <name val="Calibri"/>
      <charset val="1"/>
    </font>
    <font>
      <b/>
      <sz val="16"/>
      <color rgb="FFBF8F00"/>
      <name val="Calibri"/>
      <charset val="1"/>
    </font>
    <font>
      <b/>
      <sz val="16"/>
      <color rgb="FF1F3864"/>
      <name val="Calibri"/>
      <charset val="1"/>
    </font>
    <font>
      <b/>
      <sz val="16"/>
      <color rgb="FF595959"/>
      <name val="Calibri"/>
      <charset val="1"/>
    </font>
    <font>
      <b/>
      <sz val="8"/>
      <color rgb="FFFFFFFF"/>
      <name val="Calibri"/>
      <charset val="1"/>
    </font>
    <font>
      <b/>
      <sz val="13"/>
      <color rgb="FF1D6038"/>
      <name val="Calibri"/>
      <charset val="1"/>
    </font>
    <font>
      <b/>
      <sz val="13"/>
      <color rgb="FFC00000"/>
      <name val="Calibri"/>
      <charset val="1"/>
    </font>
    <font>
      <b/>
      <sz val="13"/>
      <color rgb="FF2E75B6"/>
      <name val="Calibri"/>
      <charset val="1"/>
    </font>
    <font>
      <b/>
      <sz val="13"/>
      <color rgb="FF1F3864"/>
      <name val="Calibri"/>
      <charset val="1"/>
    </font>
    <font>
      <sz val="10"/>
      <color rgb="FF1D6038"/>
      <name val="Calibri"/>
      <charset val="1"/>
    </font>
    <font>
      <sz val="10"/>
      <color rgb="FF595959"/>
      <name val="Calibri"/>
      <charset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</font>
    <font>
      <i/>
      <sz val="9"/>
      <color rgb="FFFFFFFF"/>
      <name val="Calibri"/>
      <family val="2"/>
    </font>
    <font>
      <sz val="11"/>
      <color theme="0"/>
      <name val="Calibri"/>
      <family val="2"/>
      <charset val="1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D6038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595959"/>
        <bgColor rgb="FF1D6038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rgb="FFF9F9F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3">
    <xf numFmtId="0" fontId="0" fillId="0" borderId="0"/>
    <xf numFmtId="42" fontId="1" fillId="0" borderId="0" applyBorder="0" applyAlignment="0" applyProtection="0"/>
    <xf numFmtId="9" fontId="1" fillId="0" borderId="0" applyBorder="0" applyAlignment="0" applyProtection="0"/>
  </cellStyleXfs>
  <cellXfs count="122">
    <xf numFmtId="0" fontId="0" fillId="0" borderId="0" xfId="0"/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0" fontId="7" fillId="6" borderId="1" xfId="0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2" fontId="30" fillId="0" borderId="1" xfId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11" borderId="7" xfId="0" applyFont="1" applyFill="1" applyBorder="1" applyAlignment="1">
      <alignment horizontal="left" vertical="center"/>
    </xf>
    <xf numFmtId="42" fontId="31" fillId="12" borderId="8" xfId="1" applyFont="1" applyFill="1" applyBorder="1" applyAlignment="1">
      <alignment horizontal="right" vertical="center"/>
    </xf>
    <xf numFmtId="42" fontId="31" fillId="12" borderId="9" xfId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left" vertical="center"/>
    </xf>
    <xf numFmtId="42" fontId="31" fillId="12" borderId="1" xfId="1" applyFont="1" applyFill="1" applyBorder="1" applyAlignment="1">
      <alignment horizontal="right" vertical="center"/>
    </xf>
    <xf numFmtId="165" fontId="4" fillId="11" borderId="1" xfId="0" applyNumberFormat="1" applyFont="1" applyFill="1" applyBorder="1" applyAlignment="1">
      <alignment horizontal="right" vertical="center"/>
    </xf>
    <xf numFmtId="0" fontId="32" fillId="11" borderId="4" xfId="0" applyFont="1" applyFill="1" applyBorder="1" applyAlignment="1">
      <alignment horizontal="center" vertical="center"/>
    </xf>
    <xf numFmtId="42" fontId="31" fillId="12" borderId="5" xfId="1" applyFont="1" applyFill="1" applyBorder="1" applyAlignment="1">
      <alignment horizontal="center" vertical="center"/>
    </xf>
    <xf numFmtId="42" fontId="31" fillId="12" borderId="6" xfId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165" fontId="6" fillId="5" borderId="2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165" fontId="4" fillId="2" borderId="9" xfId="0" applyNumberFormat="1" applyFont="1" applyFill="1" applyBorder="1" applyAlignment="1">
      <alignment horizontal="right" vertical="center"/>
    </xf>
    <xf numFmtId="9" fontId="31" fillId="12" borderId="8" xfId="2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42" fontId="30" fillId="15" borderId="1" xfId="1" applyFont="1" applyFill="1" applyBorder="1" applyAlignment="1">
      <alignment horizontal="right" vertical="center"/>
    </xf>
    <xf numFmtId="42" fontId="30" fillId="15" borderId="2" xfId="1" applyFont="1" applyFill="1" applyBorder="1" applyAlignment="1">
      <alignment horizontal="right" vertical="center"/>
    </xf>
    <xf numFmtId="0" fontId="0" fillId="15" borderId="0" xfId="0" applyFill="1"/>
    <xf numFmtId="0" fontId="0" fillId="16" borderId="0" xfId="0" applyFill="1"/>
    <xf numFmtId="0" fontId="6" fillId="17" borderId="1" xfId="0" applyFont="1" applyFill="1" applyBorder="1" applyAlignment="1">
      <alignment horizontal="left" vertical="center"/>
    </xf>
    <xf numFmtId="42" fontId="30" fillId="16" borderId="1" xfId="1" applyFont="1" applyFill="1" applyBorder="1" applyAlignment="1">
      <alignment horizontal="right" vertical="center"/>
    </xf>
    <xf numFmtId="42" fontId="30" fillId="16" borderId="2" xfId="1" applyFont="1" applyFill="1" applyBorder="1" applyAlignment="1">
      <alignment horizontal="right" vertical="center"/>
    </xf>
    <xf numFmtId="0" fontId="6" fillId="17" borderId="8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4" fontId="5" fillId="13" borderId="3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42" fontId="30" fillId="15" borderId="1" xfId="1" applyFont="1" applyFill="1" applyBorder="1" applyAlignment="1">
      <alignment horizontal="center" vertical="center"/>
    </xf>
    <xf numFmtId="42" fontId="30" fillId="15" borderId="2" xfId="1" applyFont="1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/>
    </xf>
    <xf numFmtId="14" fontId="6" fillId="17" borderId="3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42" fontId="30" fillId="16" borderId="1" xfId="1" applyFont="1" applyFill="1" applyBorder="1" applyAlignment="1">
      <alignment horizontal="center" vertical="center"/>
    </xf>
    <xf numFmtId="42" fontId="30" fillId="16" borderId="2" xfId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4" fontId="6" fillId="17" borderId="7" xfId="0" applyNumberFormat="1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42" fontId="30" fillId="16" borderId="8" xfId="1" applyFont="1" applyFill="1" applyBorder="1" applyAlignment="1">
      <alignment horizontal="center" vertical="center"/>
    </xf>
    <xf numFmtId="42" fontId="30" fillId="16" borderId="9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5" fillId="14" borderId="3" xfId="0" applyFont="1" applyFill="1" applyBorder="1" applyAlignment="1">
      <alignment horizontal="left" vertical="center"/>
    </xf>
    <xf numFmtId="9" fontId="30" fillId="15" borderId="1" xfId="2" applyFont="1" applyFill="1" applyBorder="1" applyAlignment="1">
      <alignment horizontal="right" vertical="center"/>
    </xf>
    <xf numFmtId="0" fontId="30" fillId="15" borderId="1" xfId="1" applyNumberFormat="1" applyFont="1" applyFill="1" applyBorder="1" applyAlignment="1">
      <alignment horizontal="right" vertical="center"/>
    </xf>
    <xf numFmtId="165" fontId="6" fillId="14" borderId="1" xfId="0" applyNumberFormat="1" applyFont="1" applyFill="1" applyBorder="1" applyAlignment="1">
      <alignment horizontal="right" vertical="center"/>
    </xf>
    <xf numFmtId="0" fontId="15" fillId="17" borderId="3" xfId="0" applyFont="1" applyFill="1" applyBorder="1" applyAlignment="1">
      <alignment horizontal="left" vertical="center"/>
    </xf>
    <xf numFmtId="9" fontId="30" fillId="16" borderId="1" xfId="2" applyFont="1" applyFill="1" applyBorder="1" applyAlignment="1">
      <alignment horizontal="right" vertical="center"/>
    </xf>
    <xf numFmtId="0" fontId="30" fillId="16" borderId="1" xfId="1" applyNumberFormat="1" applyFont="1" applyFill="1" applyBorder="1" applyAlignment="1">
      <alignment horizontal="right" vertical="center"/>
    </xf>
    <xf numFmtId="165" fontId="6" fillId="17" borderId="1" xfId="0" applyNumberFormat="1" applyFont="1" applyFill="1" applyBorder="1" applyAlignment="1">
      <alignment horizontal="right" vertical="center"/>
    </xf>
    <xf numFmtId="0" fontId="6" fillId="14" borderId="3" xfId="0" applyFont="1" applyFill="1" applyBorder="1" applyAlignment="1">
      <alignment horizontal="left" vertical="center"/>
    </xf>
    <xf numFmtId="165" fontId="6" fillId="14" borderId="2" xfId="0" applyNumberFormat="1" applyFont="1" applyFill="1" applyBorder="1" applyAlignment="1">
      <alignment horizontal="right" vertical="center"/>
    </xf>
    <xf numFmtId="0" fontId="6" fillId="17" borderId="3" xfId="0" applyFont="1" applyFill="1" applyBorder="1" applyAlignment="1">
      <alignment horizontal="left" vertical="center"/>
    </xf>
    <xf numFmtId="165" fontId="6" fillId="17" borderId="2" xfId="0" applyNumberFormat="1" applyFont="1" applyFill="1" applyBorder="1" applyAlignment="1">
      <alignment horizontal="right" vertical="center"/>
    </xf>
    <xf numFmtId="0" fontId="34" fillId="16" borderId="0" xfId="0" applyFont="1" applyFill="1"/>
    <xf numFmtId="0" fontId="7" fillId="1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23" fillId="7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64" fontId="24" fillId="6" borderId="1" xfId="0" applyNumberFormat="1" applyFont="1" applyFill="1" applyBorder="1" applyAlignment="1">
      <alignment horizontal="center" vertical="center"/>
    </xf>
    <xf numFmtId="165" fontId="25" fillId="6" borderId="1" xfId="0" applyNumberFormat="1" applyFont="1" applyFill="1" applyBorder="1" applyAlignment="1">
      <alignment horizontal="center" vertical="center"/>
    </xf>
    <xf numFmtId="166" fontId="26" fillId="6" borderId="1" xfId="0" applyNumberFormat="1" applyFont="1" applyFill="1" applyBorder="1" applyAlignment="1">
      <alignment horizontal="center" vertical="center"/>
    </xf>
    <xf numFmtId="3" fontId="27" fillId="6" borderId="1" xfId="0" applyNumberFormat="1" applyFont="1" applyFill="1" applyBorder="1" applyAlignment="1">
      <alignment horizontal="center" vertical="center"/>
    </xf>
    <xf numFmtId="164" fontId="22" fillId="6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165" fontId="20" fillId="6" borderId="1" xfId="0" applyNumberFormat="1" applyFont="1" applyFill="1" applyBorder="1" applyAlignment="1">
      <alignment horizontal="center" vertical="center"/>
    </xf>
    <xf numFmtId="3" fontId="21" fillId="6" borderId="1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1" fillId="12" borderId="8" xfId="1" applyNumberFormat="1" applyFont="1" applyFill="1" applyBorder="1" applyAlignment="1">
      <alignment horizontal="right" vertical="center"/>
    </xf>
    <xf numFmtId="0" fontId="35" fillId="2" borderId="2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center" wrapText="1"/>
    </xf>
  </cellXfs>
  <cellStyles count="3">
    <cellStyle name="Currency [0]" xfId="1" builtinId="7"/>
    <cellStyle name="Normal" xfId="0" builtinId="0"/>
    <cellStyle name="Percent" xfId="2" builtinId="5"/>
  </cellStyles>
  <dxfs count="33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left style="thin">
          <color rgb="FFD9D9D9"/>
        </left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border outline="0">
        <right style="thin">
          <color rgb="FFD9D9D9"/>
        </right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fill>
        <patternFill patternType="solid">
          <fgColor rgb="FF333333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19" formatCode="dd/mm/yyyy"/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6038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8F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Revenue (Rp)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_ChartData!$B$2:$B$4</c:f>
              <c:numCache>
                <c:formatCode>#,##0</c:formatCode>
                <c:ptCount val="3"/>
                <c:pt idx="0">
                  <c:v>964000</c:v>
                </c:pt>
                <c:pt idx="1">
                  <c:v>1044000</c:v>
                </c:pt>
                <c:pt idx="2">
                  <c:v>1044000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0-40C5-A6E4-6AFC420F33D5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Total Cost (Rp)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_ChartData!$C$2:$C$4</c:f>
              <c:numCache>
                <c:formatCode>#,##0</c:formatCode>
                <c:ptCount val="3"/>
                <c:pt idx="0">
                  <c:v>331000</c:v>
                </c:pt>
                <c:pt idx="1">
                  <c:v>278500</c:v>
                </c:pt>
                <c:pt idx="2">
                  <c:v>504902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0-40C5-A6E4-6AFC420F33D5}"/>
            </c:ext>
          </c:extLst>
        </c:ser>
        <c:ser>
          <c:idx val="2"/>
          <c:order val="2"/>
          <c:tx>
            <c:strRef>
              <c:f>_ChartData!$D$1</c:f>
              <c:strCache>
                <c:ptCount val="1"/>
                <c:pt idx="0">
                  <c:v>Net Profit (Rp)</c:v>
                </c:pt>
              </c:strCache>
            </c:strRef>
          </c:tx>
          <c:spPr>
            <a:solidFill>
              <a:srgbClr val="1D6038"/>
            </a:solidFill>
            <a:ln w="9360">
              <a:solidFill>
                <a:srgbClr val="1D603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_ChartData!$D$2:$D$4</c:f>
              <c:numCache>
                <c:formatCode>#,##0</c:formatCode>
                <c:ptCount val="3"/>
                <c:pt idx="0">
                  <c:v>633000</c:v>
                </c:pt>
                <c:pt idx="1">
                  <c:v>765500</c:v>
                </c:pt>
                <c:pt idx="2">
                  <c:v>539098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0-40C5-A6E4-6AFC420F3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26406"/>
        <c:axId val="20086551"/>
      </c:barChart>
      <c:catAx>
        <c:axId val="416264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Session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86551"/>
        <c:crosses val="autoZero"/>
        <c:auto val="1"/>
        <c:lblAlgn val="ctr"/>
        <c:lblOffset val="100"/>
        <c:noMultiLvlLbl val="0"/>
      </c:catAx>
      <c:valAx>
        <c:axId val="20086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IDR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264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_ChartData!$H$1</c:f>
              <c:strCache>
                <c:ptCount val="1"/>
                <c:pt idx="0">
                  <c:v>Total Cost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104-48F4-A4B7-B6420BFAFA2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104-48F4-A4B7-B6420BFAFA2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104-48F4-A4B7-B6420BFAFA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04-48F4-A4B7-B6420BFAFA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04-48F4-A4B7-B6420BFAFA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04-48F4-A4B7-B6420BFAF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_ChartData!$G$2:$G$4</c:f>
              <c:strCache>
                <c:ptCount val="3"/>
                <c:pt idx="0">
                  <c:v>Raw Materials</c:v>
                </c:pt>
                <c:pt idx="1">
                  <c:v>Operational</c:v>
                </c:pt>
                <c:pt idx="2">
                  <c:v>Labor</c:v>
                </c:pt>
              </c:strCache>
            </c:strRef>
          </c:cat>
          <c:val>
            <c:numRef>
              <c:f>_ChartData!$H$2:$H$4</c:f>
              <c:numCache>
                <c:formatCode>#,##0</c:formatCode>
                <c:ptCount val="3"/>
                <c:pt idx="0">
                  <c:v>745902</c:v>
                </c:pt>
                <c:pt idx="1">
                  <c:v>318500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04-48F4-A4B7-B6420BFAF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_ChartData!$E$1</c:f>
              <c:strCache>
                <c:ptCount val="1"/>
                <c:pt idx="0">
                  <c:v>Margin (%)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_ChartData!$E$2:$E$4</c:f>
              <c:numCache>
                <c:formatCode>0.0%</c:formatCode>
                <c:ptCount val="3"/>
                <c:pt idx="0">
                  <c:v>0.65663900414937759</c:v>
                </c:pt>
                <c:pt idx="1">
                  <c:v>0.73323754789272033</c:v>
                </c:pt>
                <c:pt idx="2">
                  <c:v>0.51637739463601529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DB-4963-ACA4-4C9DDBD6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937019"/>
        <c:axId val="48822002"/>
      </c:lineChart>
      <c:catAx>
        <c:axId val="399370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Session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22002"/>
        <c:crosses val="autoZero"/>
        <c:auto val="1"/>
        <c:lblAlgn val="ctr"/>
        <c:lblOffset val="100"/>
        <c:noMultiLvlLbl val="0"/>
      </c:catAx>
      <c:valAx>
        <c:axId val="48822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370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0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13</xdr:col>
      <xdr:colOff>609600</xdr:colOff>
      <xdr:row>28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</xdr:colOff>
      <xdr:row>30</xdr:row>
      <xdr:rowOff>0</xdr:rowOff>
    </xdr:from>
    <xdr:to>
      <xdr:col>13</xdr:col>
      <xdr:colOff>628650</xdr:colOff>
      <xdr:row>42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E92EB-E589-4387-BE83-F6236EA84DA9}" name="Table1" displayName="Table1" ref="A4:J36" totalsRowShown="0" headerRowDxfId="32" dataDxfId="30" headerRowBorderDxfId="31" tableBorderDxfId="29" totalsRowBorderDxfId="28">
  <autoFilter ref="A4:J36" xr:uid="{00000000-0009-0000-0000-000000000000}"/>
  <tableColumns count="10">
    <tableColumn id="1" xr3:uid="{25143BD3-DF05-4CAB-BCD0-DB81779378B1}" name="Date" dataDxfId="27"/>
    <tableColumn id="2" xr3:uid="{EBC3B29B-2F78-4445-9CCA-3C36C0AC21F7}" name="No." dataDxfId="26"/>
    <tableColumn id="3" xr3:uid="{A4C18B25-2170-44E9-9914-89B699F9D3B4}" name="Type" dataDxfId="25"/>
    <tableColumn id="4" xr3:uid="{DAA0C1AD-923C-4CD7-B3AB-9B60E6D8E721}" name="Category" dataDxfId="24"/>
    <tableColumn id="5" xr3:uid="{E560CE67-175B-42B5-8E19-DF4FD479A487}" name="Description" dataDxfId="23"/>
    <tableColumn id="6" xr3:uid="{0064979F-1288-4C2D-A8A0-DDC99197DAB2}" name="Qty (Unit)" dataDxfId="22"/>
    <tableColumn id="7" xr3:uid="{E0DBD6EC-FE23-41FD-9D16-9B058415257B}" name="Unit Price (Rp)" dataDxfId="21" dataCellStyle="Currency [0]"/>
    <tableColumn id="8" xr3:uid="{DD58C7B2-4519-4780-9736-D796D370C3E7}" name="Debit (Rp)" dataDxfId="20" dataCellStyle="Currency [0]"/>
    <tableColumn id="9" xr3:uid="{F9F31DAD-0E79-4825-B488-340523E740D3}" name="Credit (Rp)" dataDxfId="19" dataCellStyle="Currency [0]">
      <calculatedColumnFormula>F5*G5</calculatedColumnFormula>
    </tableColumn>
    <tableColumn id="10" xr3:uid="{48B94E71-3EB9-4A44-A046-EB8FA31C25CA}" name="Balance (Rp)" dataDxfId="18" dataCellStyle="Currency [0]">
      <calculatedColumnFormula>J4+H5-I5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9274D-644F-4BD8-957B-7518058F4F41}" name="Table2" displayName="Table2" ref="A9:H13" totalsRowShown="0" headerRowDxfId="17" headerRowBorderDxfId="16" tableBorderDxfId="15" totalsRowBorderDxfId="14">
  <autoFilter ref="A9:H13" xr:uid="{62A9274D-644F-4BD8-957B-7518058F4F41}"/>
  <tableColumns count="8">
    <tableColumn id="1" xr3:uid="{0E3E310E-D890-42B7-A785-4D6C3D302325}" name="Session Date" dataDxfId="13"/>
    <tableColumn id="2" xr3:uid="{A865E1D5-F26E-4D1C-A1AF-569669BE9C68}" name="Revenue (Rp)" dataDxfId="12" dataCellStyle="Currency [0]"/>
    <tableColumn id="3" xr3:uid="{0847328A-45C3-44BA-9C49-4B350D62379C}" name="Total Cost (Rp)" dataDxfId="11" dataCellStyle="Currency [0]"/>
    <tableColumn id="4" xr3:uid="{4A573353-76FB-45B6-86E2-7B5F765EC0B2}" name="Net Profit (Rp)" dataDxfId="10" dataCellStyle="Currency [0]"/>
    <tableColumn id="5" xr3:uid="{27882E31-52EA-4F8C-A78C-8D5F2C035561}" name="Margin (%)" dataDxfId="9" dataCellStyle="Currency [0]">
      <calculatedColumnFormula>IF(B10=0,0,D10/B10)</calculatedColumnFormula>
    </tableColumn>
    <tableColumn id="6" xr3:uid="{B30D2D23-5108-4216-9D65-EE1994A20370}" name="Units Sold" dataDxfId="8" dataCellStyle="Currency [0]"/>
    <tableColumn id="7" xr3:uid="{60BDF367-A730-44B6-BF4A-7AE87F0C0A00}" name="Price / Unit (Rp)" dataDxfId="7" dataCellStyle="Currency [0]">
      <calculatedColumnFormula>IF(F10=0,0,B10/F10)</calculatedColumnFormula>
    </tableColumn>
    <tableColumn id="8" xr3:uid="{47750A8B-EBE7-4A85-9B25-9BC544A59789}" name="Cumulative Profit (Rp)" dataDxfId="6" dataCellStyle="Currency [0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C04317-97CD-4AC4-A10B-9DAFF55023A8}" name="Table3" displayName="Table3" ref="A4:G26" totalsRowShown="0" headerRowDxfId="5" headerRowBorderDxfId="4" tableBorderDxfId="3" totalsRowBorderDxfId="2">
  <autoFilter ref="A4:G26" xr:uid="{E2C04317-97CD-4AC4-A10B-9DAFF55023A8}"/>
  <tableColumns count="7">
    <tableColumn id="1" xr3:uid="{06720D6A-390D-4395-972E-A95767AF1D37}" name="Category"/>
    <tableColumn id="2" xr3:uid="{1E1F20E1-4014-4B69-A265-657507E5DA8F}" name="Item / Description"/>
    <tableColumn id="3" xr3:uid="{26430826-814B-476F-9EC4-2FD8117FA7FB}" name="Total Qty" dataDxfId="1"/>
    <tableColumn id="4" xr3:uid="{9758DB4D-23A5-4AEC-86DC-B2DB7889E842}" name="Last Unit Price (Rp)"/>
    <tableColumn id="5" xr3:uid="{DCB1BBCF-F6CC-4D26-83D7-510DF3A686F5}" name="Total Cost (Rp)"/>
    <tableColumn id="6" xr3:uid="{F98B48E2-BFBC-43D6-86DC-2B8911B239A9}" name="Frequency" dataDxfId="0"/>
    <tableColumn id="7" xr3:uid="{3262233E-4E09-4B44-AF45-06FFEFE34E7F}" name="% of Total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B38"/>
  <sheetViews>
    <sheetView showGridLines="0" topLeftCell="B1" zoomScale="110" zoomScaleNormal="110" workbookViewId="0">
      <pane ySplit="4" topLeftCell="A5" activePane="bottomLeft" state="frozen"/>
      <selection pane="bottomLeft" activeCell="K7" sqref="K7"/>
    </sheetView>
  </sheetViews>
  <sheetFormatPr defaultColWidth="8.7109375" defaultRowHeight="15" x14ac:dyDescent="0.25"/>
  <cols>
    <col min="1" max="1" width="12.5703125" style="62" bestFit="1" customWidth="1"/>
    <col min="2" max="2" width="11.28515625" style="45" bestFit="1" customWidth="1"/>
    <col min="3" max="3" width="12.5703125" style="45" bestFit="1" customWidth="1"/>
    <col min="4" max="4" width="15.85546875" style="45" bestFit="1" customWidth="1"/>
    <col min="5" max="5" width="19.7109375" style="45" bestFit="1" customWidth="1"/>
    <col min="6" max="6" width="16.85546875" style="45" bestFit="1" customWidth="1"/>
    <col min="7" max="7" width="20.42578125" style="45" bestFit="1" customWidth="1"/>
    <col min="8" max="8" width="17" style="45" bestFit="1" customWidth="1"/>
    <col min="9" max="9" width="17.5703125" style="45" bestFit="1" customWidth="1"/>
    <col min="10" max="10" width="18.7109375" style="45" bestFit="1" customWidth="1"/>
    <col min="11" max="16384" width="8.7109375" style="45"/>
  </cols>
  <sheetData>
    <row r="1" spans="1:28" ht="18.75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spans="1:28" x14ac:dyDescent="0.25">
      <c r="A2" s="82" t="s">
        <v>155</v>
      </c>
      <c r="B2" s="83"/>
      <c r="C2" s="83"/>
      <c r="D2" s="83"/>
      <c r="E2" s="83"/>
      <c r="F2" s="83"/>
      <c r="G2" s="83"/>
      <c r="H2" s="83"/>
      <c r="I2" s="83"/>
      <c r="J2" s="83"/>
    </row>
    <row r="3" spans="1:28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</row>
    <row r="4" spans="1:28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5" t="s">
        <v>10</v>
      </c>
    </row>
    <row r="5" spans="1:28" s="51" customFormat="1" x14ac:dyDescent="0.25">
      <c r="A5" s="46" t="s">
        <v>11</v>
      </c>
      <c r="B5" s="47">
        <v>1</v>
      </c>
      <c r="C5" s="47" t="s">
        <v>12</v>
      </c>
      <c r="D5" s="47" t="s">
        <v>13</v>
      </c>
      <c r="E5" s="35" t="s">
        <v>14</v>
      </c>
      <c r="F5" s="47">
        <v>241</v>
      </c>
      <c r="G5" s="48">
        <v>4000</v>
      </c>
      <c r="H5" s="48">
        <f>F5*G5</f>
        <v>964000</v>
      </c>
      <c r="I5" s="48">
        <v>0</v>
      </c>
      <c r="J5" s="49">
        <f>H5-I5</f>
        <v>964000</v>
      </c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s="50" customFormat="1" x14ac:dyDescent="0.25">
      <c r="A6" s="52" t="s">
        <v>11</v>
      </c>
      <c r="B6" s="53">
        <v>2</v>
      </c>
      <c r="C6" s="53" t="s">
        <v>15</v>
      </c>
      <c r="D6" s="53" t="s">
        <v>16</v>
      </c>
      <c r="E6" s="41" t="s">
        <v>17</v>
      </c>
      <c r="F6" s="53">
        <v>6</v>
      </c>
      <c r="G6" s="54">
        <v>16500</v>
      </c>
      <c r="H6" s="54">
        <v>0</v>
      </c>
      <c r="I6" s="54">
        <f t="shared" ref="I6:I14" si="0">F6*G6</f>
        <v>99000</v>
      </c>
      <c r="J6" s="55">
        <f t="shared" ref="J6:J36" si="1">J5+H6-I6</f>
        <v>865000</v>
      </c>
    </row>
    <row r="7" spans="1:28" s="51" customFormat="1" x14ac:dyDescent="0.25">
      <c r="A7" s="56" t="s">
        <v>11</v>
      </c>
      <c r="B7" s="57">
        <v>3</v>
      </c>
      <c r="C7" s="57" t="s">
        <v>15</v>
      </c>
      <c r="D7" s="57" t="s">
        <v>18</v>
      </c>
      <c r="E7" s="36" t="s">
        <v>19</v>
      </c>
      <c r="F7" s="57">
        <v>6</v>
      </c>
      <c r="G7" s="48">
        <v>15000</v>
      </c>
      <c r="H7" s="48">
        <v>0</v>
      </c>
      <c r="I7" s="48">
        <f t="shared" si="0"/>
        <v>90000</v>
      </c>
      <c r="J7" s="49">
        <f t="shared" si="1"/>
        <v>775000</v>
      </c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s="50" customFormat="1" x14ac:dyDescent="0.25">
      <c r="A8" s="52" t="s">
        <v>11</v>
      </c>
      <c r="B8" s="53">
        <v>4</v>
      </c>
      <c r="C8" s="53" t="s">
        <v>15</v>
      </c>
      <c r="D8" s="53" t="s">
        <v>18</v>
      </c>
      <c r="E8" s="41" t="s">
        <v>20</v>
      </c>
      <c r="F8" s="53">
        <v>1</v>
      </c>
      <c r="G8" s="54">
        <v>15000</v>
      </c>
      <c r="H8" s="54">
        <v>0</v>
      </c>
      <c r="I8" s="54">
        <f t="shared" si="0"/>
        <v>15000</v>
      </c>
      <c r="J8" s="55">
        <f t="shared" si="1"/>
        <v>760000</v>
      </c>
    </row>
    <row r="9" spans="1:28" s="51" customFormat="1" x14ac:dyDescent="0.25">
      <c r="A9" s="56" t="s">
        <v>11</v>
      </c>
      <c r="B9" s="57">
        <v>5</v>
      </c>
      <c r="C9" s="57" t="s">
        <v>15</v>
      </c>
      <c r="D9" s="57" t="s">
        <v>16</v>
      </c>
      <c r="E9" s="36" t="s">
        <v>21</v>
      </c>
      <c r="F9" s="57">
        <v>6</v>
      </c>
      <c r="G9" s="48">
        <v>6000</v>
      </c>
      <c r="H9" s="48">
        <v>0</v>
      </c>
      <c r="I9" s="48">
        <f t="shared" si="0"/>
        <v>36000</v>
      </c>
      <c r="J9" s="49">
        <f t="shared" si="1"/>
        <v>724000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s="50" customFormat="1" x14ac:dyDescent="0.25">
      <c r="A10" s="52" t="s">
        <v>11</v>
      </c>
      <c r="B10" s="53">
        <v>6</v>
      </c>
      <c r="C10" s="53" t="s">
        <v>15</v>
      </c>
      <c r="D10" s="53" t="s">
        <v>16</v>
      </c>
      <c r="E10" s="41" t="s">
        <v>22</v>
      </c>
      <c r="F10" s="53">
        <v>2</v>
      </c>
      <c r="G10" s="54">
        <v>7000</v>
      </c>
      <c r="H10" s="54">
        <v>0</v>
      </c>
      <c r="I10" s="54">
        <f t="shared" si="0"/>
        <v>14000</v>
      </c>
      <c r="J10" s="55">
        <f t="shared" si="1"/>
        <v>710000</v>
      </c>
    </row>
    <row r="11" spans="1:28" s="51" customFormat="1" x14ac:dyDescent="0.25">
      <c r="A11" s="56" t="s">
        <v>11</v>
      </c>
      <c r="B11" s="57">
        <v>7</v>
      </c>
      <c r="C11" s="57" t="s">
        <v>15</v>
      </c>
      <c r="D11" s="57" t="s">
        <v>18</v>
      </c>
      <c r="E11" s="36" t="s">
        <v>23</v>
      </c>
      <c r="F11" s="57">
        <v>1</v>
      </c>
      <c r="G11" s="48">
        <v>20000</v>
      </c>
      <c r="H11" s="48">
        <v>0</v>
      </c>
      <c r="I11" s="48">
        <f t="shared" si="0"/>
        <v>20000</v>
      </c>
      <c r="J11" s="49">
        <f t="shared" si="1"/>
        <v>690000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s="50" customFormat="1" x14ac:dyDescent="0.25">
      <c r="A12" s="52" t="s">
        <v>11</v>
      </c>
      <c r="B12" s="53">
        <v>8</v>
      </c>
      <c r="C12" s="53" t="s">
        <v>15</v>
      </c>
      <c r="D12" s="53" t="s">
        <v>18</v>
      </c>
      <c r="E12" s="41" t="s">
        <v>24</v>
      </c>
      <c r="F12" s="53">
        <v>2</v>
      </c>
      <c r="G12" s="54">
        <v>4500</v>
      </c>
      <c r="H12" s="54">
        <v>0</v>
      </c>
      <c r="I12" s="54">
        <f t="shared" si="0"/>
        <v>9000</v>
      </c>
      <c r="J12" s="55">
        <f t="shared" si="1"/>
        <v>681000</v>
      </c>
    </row>
    <row r="13" spans="1:28" s="51" customFormat="1" x14ac:dyDescent="0.25">
      <c r="A13" s="56" t="s">
        <v>11</v>
      </c>
      <c r="B13" s="57">
        <v>9</v>
      </c>
      <c r="C13" s="57" t="s">
        <v>15</v>
      </c>
      <c r="D13" s="57" t="s">
        <v>16</v>
      </c>
      <c r="E13" s="36" t="s">
        <v>25</v>
      </c>
      <c r="F13" s="57">
        <v>3</v>
      </c>
      <c r="G13" s="48">
        <v>10000</v>
      </c>
      <c r="H13" s="48">
        <v>0</v>
      </c>
      <c r="I13" s="48">
        <f t="shared" si="0"/>
        <v>30000</v>
      </c>
      <c r="J13" s="49">
        <f t="shared" si="1"/>
        <v>651000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s="50" customFormat="1" x14ac:dyDescent="0.25">
      <c r="A14" s="52" t="s">
        <v>11</v>
      </c>
      <c r="B14" s="53">
        <v>10</v>
      </c>
      <c r="C14" s="53" t="s">
        <v>15</v>
      </c>
      <c r="D14" s="53" t="s">
        <v>16</v>
      </c>
      <c r="E14" s="41" t="s">
        <v>26</v>
      </c>
      <c r="F14" s="53">
        <v>3</v>
      </c>
      <c r="G14" s="54">
        <v>6000</v>
      </c>
      <c r="H14" s="54">
        <v>0</v>
      </c>
      <c r="I14" s="54">
        <f t="shared" si="0"/>
        <v>18000</v>
      </c>
      <c r="J14" s="55">
        <f t="shared" si="1"/>
        <v>633000</v>
      </c>
    </row>
    <row r="15" spans="1:28" s="51" customFormat="1" x14ac:dyDescent="0.25">
      <c r="A15" s="46" t="s">
        <v>27</v>
      </c>
      <c r="B15" s="47">
        <v>1</v>
      </c>
      <c r="C15" s="47" t="s">
        <v>12</v>
      </c>
      <c r="D15" s="47" t="s">
        <v>13</v>
      </c>
      <c r="E15" s="35" t="s">
        <v>14</v>
      </c>
      <c r="F15" s="47">
        <v>261</v>
      </c>
      <c r="G15" s="48">
        <v>4000</v>
      </c>
      <c r="H15" s="48">
        <f>F15*G15</f>
        <v>1044000</v>
      </c>
      <c r="I15" s="48">
        <v>0</v>
      </c>
      <c r="J15" s="49">
        <f t="shared" si="1"/>
        <v>1677000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s="50" customFormat="1" x14ac:dyDescent="0.25">
      <c r="A16" s="52" t="s">
        <v>27</v>
      </c>
      <c r="B16" s="53">
        <v>2</v>
      </c>
      <c r="C16" s="53" t="s">
        <v>15</v>
      </c>
      <c r="D16" s="53" t="s">
        <v>16</v>
      </c>
      <c r="E16" s="41" t="s">
        <v>17</v>
      </c>
      <c r="F16" s="53">
        <v>7</v>
      </c>
      <c r="G16" s="54">
        <v>16500</v>
      </c>
      <c r="H16" s="54">
        <v>0</v>
      </c>
      <c r="I16" s="54">
        <f t="shared" ref="I16:I24" si="2">F16*G16</f>
        <v>115500</v>
      </c>
      <c r="J16" s="55">
        <f t="shared" si="1"/>
        <v>1561500</v>
      </c>
    </row>
    <row r="17" spans="1:28" s="51" customFormat="1" x14ac:dyDescent="0.25">
      <c r="A17" s="56" t="s">
        <v>27</v>
      </c>
      <c r="B17" s="57">
        <v>3</v>
      </c>
      <c r="C17" s="57" t="s">
        <v>15</v>
      </c>
      <c r="D17" s="57" t="s">
        <v>16</v>
      </c>
      <c r="E17" s="36" t="s">
        <v>28</v>
      </c>
      <c r="F17" s="57">
        <v>15</v>
      </c>
      <c r="G17" s="48">
        <v>3000</v>
      </c>
      <c r="H17" s="48">
        <v>0</v>
      </c>
      <c r="I17" s="48">
        <f t="shared" si="2"/>
        <v>45000</v>
      </c>
      <c r="J17" s="49">
        <f t="shared" si="1"/>
        <v>1516500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s="50" customFormat="1" x14ac:dyDescent="0.25">
      <c r="A18" s="52" t="s">
        <v>27</v>
      </c>
      <c r="B18" s="53">
        <v>4</v>
      </c>
      <c r="C18" s="53" t="s">
        <v>15</v>
      </c>
      <c r="D18" s="53" t="s">
        <v>16</v>
      </c>
      <c r="E18" s="41" t="s">
        <v>29</v>
      </c>
      <c r="F18" s="53">
        <v>2</v>
      </c>
      <c r="G18" s="54">
        <v>5000</v>
      </c>
      <c r="H18" s="54">
        <v>0</v>
      </c>
      <c r="I18" s="54">
        <f t="shared" si="2"/>
        <v>10000</v>
      </c>
      <c r="J18" s="55">
        <f t="shared" si="1"/>
        <v>1506500</v>
      </c>
    </row>
    <row r="19" spans="1:28" s="51" customFormat="1" x14ac:dyDescent="0.25">
      <c r="A19" s="56" t="s">
        <v>27</v>
      </c>
      <c r="B19" s="57">
        <v>5</v>
      </c>
      <c r="C19" s="57" t="s">
        <v>15</v>
      </c>
      <c r="D19" s="57" t="s">
        <v>16</v>
      </c>
      <c r="E19" s="36" t="s">
        <v>30</v>
      </c>
      <c r="F19" s="57">
        <v>1</v>
      </c>
      <c r="G19" s="48">
        <v>6000</v>
      </c>
      <c r="H19" s="48">
        <v>0</v>
      </c>
      <c r="I19" s="48">
        <f t="shared" si="2"/>
        <v>6000</v>
      </c>
      <c r="J19" s="49">
        <f t="shared" si="1"/>
        <v>1500500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s="50" customFormat="1" x14ac:dyDescent="0.25">
      <c r="A20" s="52" t="s">
        <v>27</v>
      </c>
      <c r="B20" s="53">
        <v>6</v>
      </c>
      <c r="C20" s="53" t="s">
        <v>15</v>
      </c>
      <c r="D20" s="53" t="s">
        <v>16</v>
      </c>
      <c r="E20" s="41" t="s">
        <v>26</v>
      </c>
      <c r="F20" s="53">
        <v>2</v>
      </c>
      <c r="G20" s="54">
        <v>6000</v>
      </c>
      <c r="H20" s="54">
        <v>0</v>
      </c>
      <c r="I20" s="54">
        <f t="shared" si="2"/>
        <v>12000</v>
      </c>
      <c r="J20" s="55">
        <f t="shared" si="1"/>
        <v>1488500</v>
      </c>
    </row>
    <row r="21" spans="1:28" s="51" customFormat="1" x14ac:dyDescent="0.25">
      <c r="A21" s="56" t="s">
        <v>27</v>
      </c>
      <c r="B21" s="57">
        <v>7</v>
      </c>
      <c r="C21" s="57" t="s">
        <v>15</v>
      </c>
      <c r="D21" s="57" t="s">
        <v>18</v>
      </c>
      <c r="E21" s="36" t="s">
        <v>31</v>
      </c>
      <c r="F21" s="57">
        <v>6</v>
      </c>
      <c r="G21" s="48">
        <v>8000</v>
      </c>
      <c r="H21" s="48">
        <v>0</v>
      </c>
      <c r="I21" s="48">
        <f t="shared" si="2"/>
        <v>48000</v>
      </c>
      <c r="J21" s="49">
        <f t="shared" si="1"/>
        <v>1440500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s="50" customFormat="1" x14ac:dyDescent="0.25">
      <c r="A22" s="52" t="s">
        <v>27</v>
      </c>
      <c r="B22" s="53">
        <v>8</v>
      </c>
      <c r="C22" s="53" t="s">
        <v>15</v>
      </c>
      <c r="D22" s="53" t="s">
        <v>18</v>
      </c>
      <c r="E22" s="41" t="s">
        <v>20</v>
      </c>
      <c r="F22" s="53">
        <v>2</v>
      </c>
      <c r="G22" s="54">
        <v>6000</v>
      </c>
      <c r="H22" s="54">
        <v>0</v>
      </c>
      <c r="I22" s="54">
        <f t="shared" si="2"/>
        <v>12000</v>
      </c>
      <c r="J22" s="55">
        <f t="shared" si="1"/>
        <v>1428500</v>
      </c>
    </row>
    <row r="23" spans="1:28" s="51" customFormat="1" x14ac:dyDescent="0.25">
      <c r="A23" s="56" t="s">
        <v>27</v>
      </c>
      <c r="B23" s="57">
        <v>9</v>
      </c>
      <c r="C23" s="57" t="s">
        <v>15</v>
      </c>
      <c r="D23" s="57" t="s">
        <v>18</v>
      </c>
      <c r="E23" s="36" t="s">
        <v>24</v>
      </c>
      <c r="F23" s="57">
        <v>2</v>
      </c>
      <c r="G23" s="48">
        <v>5000</v>
      </c>
      <c r="H23" s="48">
        <v>0</v>
      </c>
      <c r="I23" s="48">
        <f t="shared" si="2"/>
        <v>10000</v>
      </c>
      <c r="J23" s="49">
        <f t="shared" si="1"/>
        <v>1418500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s="50" customFormat="1" x14ac:dyDescent="0.25">
      <c r="A24" s="52" t="s">
        <v>27</v>
      </c>
      <c r="B24" s="53">
        <v>10</v>
      </c>
      <c r="C24" s="53" t="s">
        <v>15</v>
      </c>
      <c r="D24" s="53" t="s">
        <v>18</v>
      </c>
      <c r="E24" s="41" t="s">
        <v>32</v>
      </c>
      <c r="F24" s="53">
        <v>1</v>
      </c>
      <c r="G24" s="54">
        <v>20000</v>
      </c>
      <c r="H24" s="54">
        <v>0</v>
      </c>
      <c r="I24" s="54">
        <f t="shared" si="2"/>
        <v>20000</v>
      </c>
      <c r="J24" s="55">
        <f t="shared" si="1"/>
        <v>1398500</v>
      </c>
    </row>
    <row r="25" spans="1:28" s="51" customFormat="1" x14ac:dyDescent="0.25">
      <c r="A25" s="46" t="s">
        <v>33</v>
      </c>
      <c r="B25" s="47">
        <v>1</v>
      </c>
      <c r="C25" s="47" t="s">
        <v>12</v>
      </c>
      <c r="D25" s="47" t="s">
        <v>13</v>
      </c>
      <c r="E25" s="35" t="s">
        <v>14</v>
      </c>
      <c r="F25" s="47">
        <v>261</v>
      </c>
      <c r="G25" s="48">
        <v>4000</v>
      </c>
      <c r="H25" s="48">
        <f>F25*G25</f>
        <v>1044000</v>
      </c>
      <c r="I25" s="48">
        <v>0</v>
      </c>
      <c r="J25" s="49">
        <f t="shared" si="1"/>
        <v>2442500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s="50" customFormat="1" x14ac:dyDescent="0.25">
      <c r="A26" s="52" t="s">
        <v>33</v>
      </c>
      <c r="B26" s="53">
        <v>2</v>
      </c>
      <c r="C26" s="53" t="s">
        <v>15</v>
      </c>
      <c r="D26" s="53" t="s">
        <v>16</v>
      </c>
      <c r="E26" s="41" t="s">
        <v>17</v>
      </c>
      <c r="F26" s="53">
        <v>8</v>
      </c>
      <c r="G26" s="54">
        <v>16300</v>
      </c>
      <c r="H26" s="54">
        <v>0</v>
      </c>
      <c r="I26" s="54">
        <f t="shared" ref="I26:I36" si="3">F26*G26</f>
        <v>130400</v>
      </c>
      <c r="J26" s="55">
        <f t="shared" si="1"/>
        <v>2312100</v>
      </c>
    </row>
    <row r="27" spans="1:28" s="51" customFormat="1" x14ac:dyDescent="0.25">
      <c r="A27" s="56" t="s">
        <v>33</v>
      </c>
      <c r="B27" s="57">
        <v>3</v>
      </c>
      <c r="C27" s="57" t="s">
        <v>15</v>
      </c>
      <c r="D27" s="57" t="s">
        <v>16</v>
      </c>
      <c r="E27" s="36" t="s">
        <v>34</v>
      </c>
      <c r="F27" s="57">
        <v>1</v>
      </c>
      <c r="G27" s="48">
        <v>12000</v>
      </c>
      <c r="H27" s="48">
        <v>0</v>
      </c>
      <c r="I27" s="48">
        <f t="shared" si="3"/>
        <v>12000</v>
      </c>
      <c r="J27" s="49">
        <f t="shared" si="1"/>
        <v>2300100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 spans="1:28" s="50" customFormat="1" x14ac:dyDescent="0.25">
      <c r="A28" s="52" t="s">
        <v>33</v>
      </c>
      <c r="B28" s="53">
        <v>4</v>
      </c>
      <c r="C28" s="53" t="s">
        <v>15</v>
      </c>
      <c r="D28" s="53" t="s">
        <v>18</v>
      </c>
      <c r="E28" s="41" t="s">
        <v>35</v>
      </c>
      <c r="F28" s="53">
        <v>1</v>
      </c>
      <c r="G28" s="54">
        <v>5000</v>
      </c>
      <c r="H28" s="54">
        <v>0</v>
      </c>
      <c r="I28" s="54">
        <f t="shared" si="3"/>
        <v>5000</v>
      </c>
      <c r="J28" s="55">
        <f t="shared" si="1"/>
        <v>2295100</v>
      </c>
    </row>
    <row r="29" spans="1:28" s="51" customFormat="1" x14ac:dyDescent="0.25">
      <c r="A29" s="56" t="s">
        <v>33</v>
      </c>
      <c r="B29" s="57">
        <v>5</v>
      </c>
      <c r="C29" s="57" t="s">
        <v>15</v>
      </c>
      <c r="D29" s="57" t="s">
        <v>18</v>
      </c>
      <c r="E29" s="36" t="s">
        <v>36</v>
      </c>
      <c r="F29" s="57">
        <v>5</v>
      </c>
      <c r="G29" s="48">
        <v>8000</v>
      </c>
      <c r="H29" s="48">
        <v>0</v>
      </c>
      <c r="I29" s="48">
        <f t="shared" si="3"/>
        <v>40000</v>
      </c>
      <c r="J29" s="49">
        <f t="shared" si="1"/>
        <v>2255100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spans="1:28" s="50" customFormat="1" x14ac:dyDescent="0.25">
      <c r="A30" s="52" t="s">
        <v>33</v>
      </c>
      <c r="B30" s="53">
        <v>6</v>
      </c>
      <c r="C30" s="53" t="s">
        <v>15</v>
      </c>
      <c r="D30" s="53" t="s">
        <v>18</v>
      </c>
      <c r="E30" s="41" t="s">
        <v>20</v>
      </c>
      <c r="F30" s="53">
        <v>2</v>
      </c>
      <c r="G30" s="54">
        <v>6000</v>
      </c>
      <c r="H30" s="54">
        <v>0</v>
      </c>
      <c r="I30" s="54">
        <f t="shared" si="3"/>
        <v>12000</v>
      </c>
      <c r="J30" s="55">
        <f t="shared" si="1"/>
        <v>2243100</v>
      </c>
    </row>
    <row r="31" spans="1:28" s="51" customFormat="1" x14ac:dyDescent="0.25">
      <c r="A31" s="56" t="s">
        <v>33</v>
      </c>
      <c r="B31" s="57">
        <v>7</v>
      </c>
      <c r="C31" s="57" t="s">
        <v>15</v>
      </c>
      <c r="D31" s="57" t="s">
        <v>16</v>
      </c>
      <c r="E31" s="36" t="s">
        <v>37</v>
      </c>
      <c r="F31" s="57">
        <v>14</v>
      </c>
      <c r="G31" s="48">
        <v>12143</v>
      </c>
      <c r="H31" s="48">
        <v>0</v>
      </c>
      <c r="I31" s="48">
        <f t="shared" si="3"/>
        <v>170002</v>
      </c>
      <c r="J31" s="49">
        <f t="shared" si="1"/>
        <v>2073098</v>
      </c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spans="1:28" s="50" customFormat="1" x14ac:dyDescent="0.25">
      <c r="A32" s="52" t="s">
        <v>33</v>
      </c>
      <c r="B32" s="53">
        <v>8</v>
      </c>
      <c r="C32" s="53" t="s">
        <v>15</v>
      </c>
      <c r="D32" s="53" t="s">
        <v>16</v>
      </c>
      <c r="E32" s="41" t="s">
        <v>38</v>
      </c>
      <c r="F32" s="53">
        <v>4</v>
      </c>
      <c r="G32" s="54">
        <v>2000</v>
      </c>
      <c r="H32" s="54">
        <v>0</v>
      </c>
      <c r="I32" s="54">
        <f t="shared" si="3"/>
        <v>8000</v>
      </c>
      <c r="J32" s="55">
        <f t="shared" si="1"/>
        <v>2065098</v>
      </c>
    </row>
    <row r="33" spans="1:28" s="51" customFormat="1" x14ac:dyDescent="0.25">
      <c r="A33" s="56" t="s">
        <v>33</v>
      </c>
      <c r="B33" s="57">
        <v>9</v>
      </c>
      <c r="C33" s="57" t="s">
        <v>15</v>
      </c>
      <c r="D33" s="57" t="s">
        <v>16</v>
      </c>
      <c r="E33" s="36" t="s">
        <v>25</v>
      </c>
      <c r="F33" s="57">
        <v>4</v>
      </c>
      <c r="G33" s="48">
        <v>10000</v>
      </c>
      <c r="H33" s="48">
        <v>0</v>
      </c>
      <c r="I33" s="48">
        <f t="shared" si="3"/>
        <v>40000</v>
      </c>
      <c r="J33" s="49">
        <f t="shared" si="1"/>
        <v>2025098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spans="1:28" s="50" customFormat="1" x14ac:dyDescent="0.25">
      <c r="A34" s="52" t="s">
        <v>33</v>
      </c>
      <c r="B34" s="53">
        <v>10</v>
      </c>
      <c r="C34" s="53" t="s">
        <v>15</v>
      </c>
      <c r="D34" s="53" t="s">
        <v>39</v>
      </c>
      <c r="E34" s="41" t="s">
        <v>40</v>
      </c>
      <c r="F34" s="53">
        <v>1</v>
      </c>
      <c r="G34" s="54">
        <v>50000</v>
      </c>
      <c r="H34" s="54">
        <v>0</v>
      </c>
      <c r="I34" s="54">
        <f t="shared" si="3"/>
        <v>50000</v>
      </c>
      <c r="J34" s="55">
        <f t="shared" si="1"/>
        <v>1975098</v>
      </c>
    </row>
    <row r="35" spans="1:28" s="51" customFormat="1" x14ac:dyDescent="0.25">
      <c r="A35" s="56" t="s">
        <v>33</v>
      </c>
      <c r="B35" s="57">
        <v>11</v>
      </c>
      <c r="C35" s="57" t="s">
        <v>15</v>
      </c>
      <c r="D35" s="57" t="s">
        <v>18</v>
      </c>
      <c r="E35" s="36" t="s">
        <v>41</v>
      </c>
      <c r="F35" s="57">
        <v>1</v>
      </c>
      <c r="G35" s="48">
        <v>22500</v>
      </c>
      <c r="H35" s="48">
        <v>0</v>
      </c>
      <c r="I35" s="48">
        <f t="shared" si="3"/>
        <v>22500</v>
      </c>
      <c r="J35" s="49">
        <f t="shared" si="1"/>
        <v>1952598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 spans="1:28" s="50" customFormat="1" x14ac:dyDescent="0.25">
      <c r="A36" s="58" t="s">
        <v>33</v>
      </c>
      <c r="B36" s="59">
        <v>12</v>
      </c>
      <c r="C36" s="59" t="s">
        <v>15</v>
      </c>
      <c r="D36" s="59" t="s">
        <v>18</v>
      </c>
      <c r="E36" s="44" t="s">
        <v>24</v>
      </c>
      <c r="F36" s="59">
        <v>3</v>
      </c>
      <c r="G36" s="60">
        <v>5000</v>
      </c>
      <c r="H36" s="60">
        <v>0</v>
      </c>
      <c r="I36" s="60">
        <f t="shared" si="3"/>
        <v>15000</v>
      </c>
      <c r="J36" s="61">
        <f t="shared" si="1"/>
        <v>1937598</v>
      </c>
    </row>
    <row r="38" spans="1:28" x14ac:dyDescent="0.25">
      <c r="A38" s="85" t="s">
        <v>42</v>
      </c>
      <c r="B38" s="85"/>
      <c r="C38" s="85"/>
      <c r="D38" s="85"/>
      <c r="E38" s="85"/>
      <c r="F38" s="85"/>
      <c r="G38" s="85"/>
      <c r="H38" s="85"/>
      <c r="I38" s="85"/>
      <c r="J38" s="85"/>
    </row>
  </sheetData>
  <mergeCells count="4">
    <mergeCell ref="A1:J1"/>
    <mergeCell ref="A2:J2"/>
    <mergeCell ref="A3:J3"/>
    <mergeCell ref="A38:J38"/>
  </mergeCells>
  <pageMargins left="0.75" right="0.75" top="1" bottom="1" header="0.511811023622047" footer="0.511811023622047"/>
  <pageSetup paperSize="9" scale="50" orientation="portrait" horizontalDpi="300" verticalDpi="300" r:id="rId1"/>
  <colBreaks count="1" manualBreakCount="1">
    <brk id="13" max="37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6038"/>
  </sheetPr>
  <dimension ref="A1:H20"/>
  <sheetViews>
    <sheetView showGridLines="0" zoomScaleNormal="100" workbookViewId="0">
      <selection activeCell="H16" sqref="H16"/>
    </sheetView>
  </sheetViews>
  <sheetFormatPr defaultColWidth="8.7109375" defaultRowHeight="15" x14ac:dyDescent="0.25"/>
  <cols>
    <col min="1" max="1" width="15.140625" bestFit="1" customWidth="1"/>
    <col min="2" max="2" width="17.140625" bestFit="1" customWidth="1"/>
    <col min="3" max="3" width="18.140625" bestFit="1" customWidth="1"/>
    <col min="4" max="4" width="18.28515625" bestFit="1" customWidth="1"/>
    <col min="5" max="5" width="15" bestFit="1" customWidth="1"/>
    <col min="6" max="6" width="14.42578125" bestFit="1" customWidth="1"/>
    <col min="7" max="7" width="19.28515625" bestFit="1" customWidth="1"/>
    <col min="8" max="8" width="24.28515625" bestFit="1" customWidth="1"/>
  </cols>
  <sheetData>
    <row r="1" spans="1:8" ht="18.75" x14ac:dyDescent="0.25">
      <c r="A1" s="81" t="s">
        <v>43</v>
      </c>
      <c r="B1" s="81"/>
      <c r="C1" s="81"/>
      <c r="D1" s="81"/>
      <c r="E1" s="81"/>
      <c r="F1" s="81"/>
      <c r="G1" s="81"/>
      <c r="H1" s="81"/>
    </row>
    <row r="2" spans="1:8" x14ac:dyDescent="0.25">
      <c r="A2" s="82" t="s">
        <v>154</v>
      </c>
      <c r="B2" s="83"/>
      <c r="C2" s="83"/>
      <c r="D2" s="83"/>
      <c r="E2" s="83"/>
      <c r="F2" s="83"/>
      <c r="G2" s="83"/>
      <c r="H2" s="83"/>
    </row>
    <row r="4" spans="1:8" x14ac:dyDescent="0.25">
      <c r="A4" s="91" t="s">
        <v>44</v>
      </c>
      <c r="B4" s="91"/>
      <c r="C4" s="92" t="s">
        <v>45</v>
      </c>
      <c r="D4" s="92"/>
      <c r="E4" s="93" t="s">
        <v>46</v>
      </c>
      <c r="F4" s="93"/>
      <c r="G4" s="94" t="s">
        <v>47</v>
      </c>
      <c r="H4" s="94"/>
    </row>
    <row r="5" spans="1:8" ht="18.75" x14ac:dyDescent="0.25">
      <c r="A5" s="87">
        <f>SUMIF('Raw Data'!C5:C36,"Income",'Raw Data'!H5:H36)</f>
        <v>3052000</v>
      </c>
      <c r="B5" s="87"/>
      <c r="C5" s="88">
        <f>SUMIF('Raw Data'!C5:C36,"Expense",'Raw Data'!I5:I36)</f>
        <v>1114402</v>
      </c>
      <c r="D5" s="88"/>
      <c r="E5" s="89">
        <f>A5-C5</f>
        <v>1937598</v>
      </c>
      <c r="F5" s="89"/>
      <c r="G5" s="90">
        <f>IF(A5=0,0,E5/A5)</f>
        <v>0.6348617300131062</v>
      </c>
      <c r="H5" s="90"/>
    </row>
    <row r="8" spans="1:8" x14ac:dyDescent="0.25">
      <c r="A8" s="86" t="s">
        <v>48</v>
      </c>
      <c r="B8" s="86"/>
      <c r="C8" s="86"/>
      <c r="D8" s="86"/>
      <c r="E8" s="86"/>
      <c r="F8" s="86"/>
      <c r="G8" s="86"/>
      <c r="H8" s="86"/>
    </row>
    <row r="9" spans="1:8" x14ac:dyDescent="0.25">
      <c r="A9" s="27" t="s">
        <v>49</v>
      </c>
      <c r="B9" s="28" t="s">
        <v>50</v>
      </c>
      <c r="C9" s="28" t="s">
        <v>45</v>
      </c>
      <c r="D9" s="28" t="s">
        <v>46</v>
      </c>
      <c r="E9" s="28" t="s">
        <v>51</v>
      </c>
      <c r="F9" s="28" t="s">
        <v>52</v>
      </c>
      <c r="G9" s="28" t="s">
        <v>53</v>
      </c>
      <c r="H9" s="29" t="s">
        <v>54</v>
      </c>
    </row>
    <row r="10" spans="1:8" x14ac:dyDescent="0.25">
      <c r="A10" s="63" t="s">
        <v>55</v>
      </c>
      <c r="B10" s="37">
        <f>SUMIFS('Raw Data'!H$5:H$36,'Raw Data'!C$5:C$36,"Income",'Raw Data'!A$5:A$36,DATE(2026,2,25))</f>
        <v>964000</v>
      </c>
      <c r="C10" s="37">
        <f>SUMIFS('Raw Data'!I$5:I$36,'Raw Data'!C$5:C$36,"Expense",'Raw Data'!A$5:A$36,DATE(2026,2,25))</f>
        <v>331000</v>
      </c>
      <c r="D10" s="37">
        <f>B10-C10</f>
        <v>633000</v>
      </c>
      <c r="E10" s="64">
        <f>IF(B10=0,0,D10/B10)</f>
        <v>0.65663900414937759</v>
      </c>
      <c r="F10" s="65">
        <f>SUMIFS('Raw Data'!F$5:F$36,'Raw Data'!C$5:C$36,"Income",'Raw Data'!A$5:A$36,DATE(2026,2,25))</f>
        <v>241</v>
      </c>
      <c r="G10" s="37">
        <f>IF(F10=0,0,B10/F10)</f>
        <v>4000</v>
      </c>
      <c r="H10" s="38">
        <f>SUM(D10:D10)</f>
        <v>633000</v>
      </c>
    </row>
    <row r="11" spans="1:8" s="40" customFormat="1" x14ac:dyDescent="0.25">
      <c r="A11" s="67" t="s">
        <v>56</v>
      </c>
      <c r="B11" s="42">
        <f>SUMIFS('Raw Data'!H$5:H$36,'Raw Data'!C$5:C$36,"Income",'Raw Data'!A$5:A$36,DATE(2026,3,3))</f>
        <v>1044000</v>
      </c>
      <c r="C11" s="42">
        <f>SUMIFS('Raw Data'!I$5:I$36,'Raw Data'!C$5:C$36,"Expense",'Raw Data'!A$5:A$36,DATE(2026,3,3))</f>
        <v>278500</v>
      </c>
      <c r="D11" s="42">
        <f>B11-C11</f>
        <v>765500</v>
      </c>
      <c r="E11" s="68">
        <f>IF(B11=0,0,D11/B11)</f>
        <v>0.73323754789272033</v>
      </c>
      <c r="F11" s="69">
        <f>SUMIFS('Raw Data'!F$5:F$36,'Raw Data'!C$5:C$36,"Income",'Raw Data'!A$5:A$36,DATE(2026,3,3))</f>
        <v>261</v>
      </c>
      <c r="G11" s="42">
        <f>IF(F11=0,0,B11/F11)</f>
        <v>4000</v>
      </c>
      <c r="H11" s="43">
        <f>SUM(D10:D11)</f>
        <v>1398500</v>
      </c>
    </row>
    <row r="12" spans="1:8" x14ac:dyDescent="0.25">
      <c r="A12" s="63" t="s">
        <v>57</v>
      </c>
      <c r="B12" s="37">
        <f>SUMIFS('Raw Data'!H$5:H$36,'Raw Data'!C$5:C$36,"Income",'Raw Data'!A$5:A$36,DATE(2026,3,9))</f>
        <v>1044000</v>
      </c>
      <c r="C12" s="37">
        <f>SUMIFS('Raw Data'!I$5:I$36,'Raw Data'!C$5:C$36,"Expense",'Raw Data'!A$5:A$36,DATE(2026,3,9))</f>
        <v>504902</v>
      </c>
      <c r="D12" s="37">
        <f>B12-C12</f>
        <v>539098</v>
      </c>
      <c r="E12" s="64">
        <f>IF(B12=0,0,D12/B12)</f>
        <v>0.51637739463601529</v>
      </c>
      <c r="F12" s="65">
        <f>SUMIFS('Raw Data'!F$5:F$36,'Raw Data'!C$5:C$36,"Income",'Raw Data'!A$5:A$36,DATE(2026,3,9))</f>
        <v>261</v>
      </c>
      <c r="G12" s="37">
        <f>IF(F12=0,0,B12/F12)</f>
        <v>4000</v>
      </c>
      <c r="H12" s="38">
        <f>SUM(D10:D12)</f>
        <v>1937598</v>
      </c>
    </row>
    <row r="13" spans="1:8" x14ac:dyDescent="0.25">
      <c r="A13" s="21" t="s">
        <v>58</v>
      </c>
      <c r="B13" s="22">
        <f>SUM(B10:B12)</f>
        <v>3052000</v>
      </c>
      <c r="C13" s="22">
        <f>SUM(C10:C12)</f>
        <v>1114402</v>
      </c>
      <c r="D13" s="22">
        <f>SUM(D10:D12)</f>
        <v>1937598</v>
      </c>
      <c r="E13" s="34">
        <f>IF(B13=0,0,D13/B13)</f>
        <v>0.6348617300131062</v>
      </c>
      <c r="F13" s="116">
        <f>SUM(F10:F12)</f>
        <v>763</v>
      </c>
      <c r="G13" s="22">
        <f>IF(F13=0,0,B13/F13)</f>
        <v>4000</v>
      </c>
      <c r="H13" s="23" t="s">
        <v>59</v>
      </c>
    </row>
    <row r="15" spans="1:8" x14ac:dyDescent="0.25">
      <c r="A15" s="86" t="s">
        <v>60</v>
      </c>
      <c r="B15" s="86"/>
      <c r="C15" s="86"/>
      <c r="D15" s="86"/>
    </row>
    <row r="16" spans="1:8" x14ac:dyDescent="0.25">
      <c r="A16" s="3" t="s">
        <v>4</v>
      </c>
      <c r="B16" s="3" t="s">
        <v>45</v>
      </c>
      <c r="C16" s="3" t="s">
        <v>61</v>
      </c>
      <c r="D16" s="3" t="s">
        <v>62</v>
      </c>
    </row>
    <row r="17" spans="1:4" x14ac:dyDescent="0.25">
      <c r="A17" s="36" t="s">
        <v>16</v>
      </c>
      <c r="B17" s="37">
        <f>SUMIF('Raw Data'!D5:D36,"Raw Materials",'Raw Data'!I5:I36)</f>
        <v>745902</v>
      </c>
      <c r="C17" s="66">
        <f>IF(A5=0,0,B17/A5)</f>
        <v>0.24439777195281781</v>
      </c>
      <c r="D17" s="66">
        <f>IF(B17+B18+B19=0,0,B17/(B17+B18+B19))</f>
        <v>0.66932938024160038</v>
      </c>
    </row>
    <row r="18" spans="1:4" s="40" customFormat="1" x14ac:dyDescent="0.25">
      <c r="A18" s="41" t="s">
        <v>18</v>
      </c>
      <c r="B18" s="42">
        <f>SUMIF('Raw Data'!D5:D36,"Operational",'Raw Data'!I5:I36)</f>
        <v>318500</v>
      </c>
      <c r="C18" s="70">
        <f>IF(A5=0,0,B18/A5)</f>
        <v>0.10435779816513761</v>
      </c>
      <c r="D18" s="70">
        <f>IF(B17+B18+B19=0,0,B18/(B17+B18+B19))</f>
        <v>0.28580350717245662</v>
      </c>
    </row>
    <row r="19" spans="1:4" x14ac:dyDescent="0.25">
      <c r="A19" s="36" t="s">
        <v>39</v>
      </c>
      <c r="B19" s="37">
        <f>SUMIF('Raw Data'!D5:D36,"Labor",'Raw Data'!I5:I36)</f>
        <v>50000</v>
      </c>
      <c r="C19" s="66">
        <f>IF(A5=0,0,B19/A5)</f>
        <v>1.6382699868938401E-2</v>
      </c>
      <c r="D19" s="66">
        <f>IF(B17+B18+B19=0,0,B19/(B17+B18+B19))</f>
        <v>4.4867112585942955E-2</v>
      </c>
    </row>
    <row r="20" spans="1:4" x14ac:dyDescent="0.25">
      <c r="A20" s="24" t="s">
        <v>63</v>
      </c>
      <c r="B20" s="25">
        <f>SUM(B17:B19)</f>
        <v>1114402</v>
      </c>
      <c r="C20" s="26">
        <f>IF(A5=0,0,B20/A5)</f>
        <v>0.36513826998689386</v>
      </c>
      <c r="D20" s="26" t="s">
        <v>64</v>
      </c>
    </row>
  </sheetData>
  <mergeCells count="12">
    <mergeCell ref="A1:H1"/>
    <mergeCell ref="A2:H2"/>
    <mergeCell ref="A4:B4"/>
    <mergeCell ref="C4:D4"/>
    <mergeCell ref="E4:F4"/>
    <mergeCell ref="G4:H4"/>
    <mergeCell ref="A15:D15"/>
    <mergeCell ref="A5:B5"/>
    <mergeCell ref="C5:D5"/>
    <mergeCell ref="E5:F5"/>
    <mergeCell ref="G5:H5"/>
    <mergeCell ref="A8:H8"/>
  </mergeCells>
  <pageMargins left="0.75" right="0.75" top="1" bottom="1" header="0.511811023622047" footer="0.511811023622047"/>
  <pageSetup paperSize="9" scale="5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R31"/>
  <sheetViews>
    <sheetView showGridLines="0" zoomScaleNormal="100" workbookViewId="0">
      <pane ySplit="4" topLeftCell="A5" activePane="bottomLeft" state="frozen"/>
      <selection pane="bottomLeft" activeCell="L34" sqref="L34"/>
    </sheetView>
  </sheetViews>
  <sheetFormatPr defaultColWidth="8.7109375" defaultRowHeight="15" x14ac:dyDescent="0.25"/>
  <cols>
    <col min="1" max="1" width="12.42578125" bestFit="1" customWidth="1"/>
    <col min="2" max="2" width="19.5703125" bestFit="1" customWidth="1"/>
    <col min="3" max="3" width="12.140625" style="45" bestFit="1" customWidth="1"/>
    <col min="4" max="4" width="19.28515625" bestFit="1" customWidth="1"/>
    <col min="5" max="5" width="16" bestFit="1" customWidth="1"/>
    <col min="6" max="6" width="12.85546875" style="45" bestFit="1" customWidth="1"/>
    <col min="7" max="7" width="16.140625" bestFit="1" customWidth="1"/>
  </cols>
  <sheetData>
    <row r="1" spans="1:18" ht="18.75" x14ac:dyDescent="0.25">
      <c r="A1" s="81" t="s">
        <v>65</v>
      </c>
      <c r="B1" s="81"/>
      <c r="C1" s="81"/>
      <c r="D1" s="81"/>
      <c r="E1" s="81"/>
      <c r="F1" s="81"/>
      <c r="G1" s="81"/>
    </row>
    <row r="2" spans="1:18" x14ac:dyDescent="0.25">
      <c r="A2" s="82" t="s">
        <v>156</v>
      </c>
      <c r="B2" s="83"/>
      <c r="C2" s="83"/>
      <c r="D2" s="83"/>
      <c r="E2" s="83"/>
      <c r="F2" s="83"/>
      <c r="G2" s="83"/>
    </row>
    <row r="4" spans="1:18" x14ac:dyDescent="0.25">
      <c r="A4" s="17" t="s">
        <v>4</v>
      </c>
      <c r="B4" s="18" t="s">
        <v>66</v>
      </c>
      <c r="C4" s="18" t="s">
        <v>67</v>
      </c>
      <c r="D4" s="18" t="s">
        <v>68</v>
      </c>
      <c r="E4" s="18" t="s">
        <v>45</v>
      </c>
      <c r="F4" s="18" t="s">
        <v>69</v>
      </c>
      <c r="G4" s="19" t="s">
        <v>62</v>
      </c>
    </row>
    <row r="5" spans="1:18" s="39" customFormat="1" x14ac:dyDescent="0.25">
      <c r="A5" s="71" t="s">
        <v>16</v>
      </c>
      <c r="B5" s="36" t="s">
        <v>17</v>
      </c>
      <c r="C5" s="76">
        <v>20</v>
      </c>
      <c r="D5" s="37">
        <v>16300</v>
      </c>
      <c r="E5" s="37">
        <v>331400</v>
      </c>
      <c r="F5" s="57">
        <v>3</v>
      </c>
      <c r="G5" s="72">
        <f>IF(SUM(E5:E25)=0,0,E5/SUM(E5:E25))</f>
        <v>0.27827693341170545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18" x14ac:dyDescent="0.25">
      <c r="A6" s="30" t="s">
        <v>16</v>
      </c>
      <c r="B6" s="1" t="s">
        <v>37</v>
      </c>
      <c r="C6" s="77">
        <v>14</v>
      </c>
      <c r="D6" s="16">
        <v>12143</v>
      </c>
      <c r="E6" s="16">
        <v>170000</v>
      </c>
      <c r="F6" s="80">
        <v>1</v>
      </c>
      <c r="G6" s="31">
        <f>IF(SUM(E5:E25)=0,0,E6/SUM(E5:E25))</f>
        <v>0.14274918129146025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s="39" customFormat="1" x14ac:dyDescent="0.25">
      <c r="A7" s="71" t="s">
        <v>16</v>
      </c>
      <c r="B7" s="36" t="s">
        <v>25</v>
      </c>
      <c r="C7" s="76">
        <v>11</v>
      </c>
      <c r="D7" s="37">
        <v>10000</v>
      </c>
      <c r="E7" s="37">
        <v>110000</v>
      </c>
      <c r="F7" s="57">
        <v>3</v>
      </c>
      <c r="G7" s="72">
        <f>IF(SUM(E5:E25)=0,0,E7/SUM(E5:E25))</f>
        <v>9.2367117306238977E-2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1:18" s="40" customFormat="1" x14ac:dyDescent="0.25">
      <c r="A8" s="73" t="s">
        <v>16</v>
      </c>
      <c r="B8" s="41" t="s">
        <v>28</v>
      </c>
      <c r="C8" s="78">
        <v>15</v>
      </c>
      <c r="D8" s="42">
        <v>3000</v>
      </c>
      <c r="E8" s="42">
        <v>45000</v>
      </c>
      <c r="F8" s="53">
        <v>1</v>
      </c>
      <c r="G8" s="74">
        <f>IF(SUM(E5:E25)=0,0,E8/SUM(E5:E25))</f>
        <v>3.7786547988915946E-2</v>
      </c>
      <c r="H8" s="75"/>
      <c r="I8" s="75"/>
      <c r="J8" s="75"/>
      <c r="K8" s="75"/>
      <c r="L8" s="75"/>
      <c r="M8" s="75"/>
      <c r="N8" s="75"/>
      <c r="O8" s="75"/>
    </row>
    <row r="9" spans="1:18" s="39" customFormat="1" x14ac:dyDescent="0.25">
      <c r="A9" s="71" t="s">
        <v>16</v>
      </c>
      <c r="B9" s="36" t="s">
        <v>21</v>
      </c>
      <c r="C9" s="76">
        <v>6</v>
      </c>
      <c r="D9" s="37">
        <v>6000</v>
      </c>
      <c r="E9" s="37">
        <v>36000</v>
      </c>
      <c r="F9" s="57">
        <v>1</v>
      </c>
      <c r="G9" s="72">
        <f>IF(SUM(E5:E25)=0,0,E9/SUM(E5:E25))</f>
        <v>3.0229238391132757E-2</v>
      </c>
      <c r="H9" s="75"/>
      <c r="I9" s="75"/>
      <c r="J9" s="75"/>
      <c r="K9" s="75"/>
      <c r="L9" s="75"/>
      <c r="M9" s="75"/>
      <c r="N9" s="75"/>
      <c r="O9" s="75"/>
      <c r="P9" s="40"/>
      <c r="Q9" s="40"/>
      <c r="R9" s="40"/>
    </row>
    <row r="10" spans="1:18" s="40" customFormat="1" x14ac:dyDescent="0.25">
      <c r="A10" s="73" t="s">
        <v>16</v>
      </c>
      <c r="B10" s="41" t="s">
        <v>26</v>
      </c>
      <c r="C10" s="78">
        <v>5</v>
      </c>
      <c r="D10" s="42">
        <v>6000</v>
      </c>
      <c r="E10" s="42">
        <v>30000</v>
      </c>
      <c r="F10" s="53">
        <v>2</v>
      </c>
      <c r="G10" s="74">
        <f>IF(SUM(E5:E25)=0,0,E10/SUM(E5:E25))</f>
        <v>2.5191031992610632E-2</v>
      </c>
      <c r="H10" s="75"/>
      <c r="I10" s="75"/>
      <c r="J10" s="75"/>
      <c r="K10" s="75"/>
      <c r="L10" s="75"/>
      <c r="M10" s="75"/>
      <c r="N10" s="75"/>
      <c r="O10" s="75"/>
    </row>
    <row r="11" spans="1:18" s="39" customFormat="1" x14ac:dyDescent="0.25">
      <c r="A11" s="71" t="s">
        <v>16</v>
      </c>
      <c r="B11" s="36" t="s">
        <v>22</v>
      </c>
      <c r="C11" s="76">
        <v>2</v>
      </c>
      <c r="D11" s="37">
        <v>7000</v>
      </c>
      <c r="E11" s="37">
        <v>14000</v>
      </c>
      <c r="F11" s="57">
        <v>1</v>
      </c>
      <c r="G11" s="72">
        <f>IF(SUM(E5:E25)=0,0,E11/SUM(E5:E25))</f>
        <v>1.1755814929884961E-2</v>
      </c>
      <c r="H11" s="75"/>
      <c r="I11" s="75"/>
      <c r="J11" s="75"/>
      <c r="K11" s="75"/>
      <c r="L11" s="75"/>
      <c r="M11" s="75"/>
      <c r="N11" s="75"/>
      <c r="O11" s="75"/>
      <c r="P11" s="40"/>
      <c r="Q11" s="40"/>
      <c r="R11" s="40"/>
    </row>
    <row r="12" spans="1:18" s="40" customFormat="1" x14ac:dyDescent="0.25">
      <c r="A12" s="73" t="s">
        <v>16</v>
      </c>
      <c r="B12" s="41" t="s">
        <v>34</v>
      </c>
      <c r="C12" s="78">
        <v>1</v>
      </c>
      <c r="D12" s="42">
        <v>12000</v>
      </c>
      <c r="E12" s="42">
        <v>12000</v>
      </c>
      <c r="F12" s="53">
        <v>1</v>
      </c>
      <c r="G12" s="74">
        <f>IF(SUM(E5:E25)=0,0,E12/SUM(E5:E25))</f>
        <v>1.0076412797044252E-2</v>
      </c>
      <c r="H12" s="75"/>
      <c r="I12" s="75"/>
      <c r="J12" s="75"/>
      <c r="K12" s="75"/>
      <c r="L12" s="75"/>
      <c r="M12" s="75"/>
      <c r="N12" s="75"/>
      <c r="O12" s="75"/>
    </row>
    <row r="13" spans="1:18" s="39" customFormat="1" x14ac:dyDescent="0.25">
      <c r="A13" s="71" t="s">
        <v>16</v>
      </c>
      <c r="B13" s="36" t="s">
        <v>38</v>
      </c>
      <c r="C13" s="76">
        <v>4</v>
      </c>
      <c r="D13" s="37">
        <v>2000</v>
      </c>
      <c r="E13" s="37">
        <v>8000</v>
      </c>
      <c r="F13" s="57">
        <v>1</v>
      </c>
      <c r="G13" s="72">
        <f>IF(SUM(E5:E25)=0,0,E13/SUM(E5:E25))</f>
        <v>6.7176085313628347E-3</v>
      </c>
      <c r="H13" s="75"/>
      <c r="I13" s="75"/>
      <c r="J13" s="75"/>
      <c r="K13" s="75"/>
      <c r="L13" s="75"/>
      <c r="M13" s="75"/>
      <c r="N13" s="75"/>
      <c r="O13" s="75"/>
      <c r="P13" s="40"/>
      <c r="Q13" s="40"/>
      <c r="R13" s="40"/>
    </row>
    <row r="14" spans="1:18" s="40" customFormat="1" x14ac:dyDescent="0.25">
      <c r="A14" s="73" t="s">
        <v>16</v>
      </c>
      <c r="B14" s="41" t="s">
        <v>29</v>
      </c>
      <c r="C14" s="78">
        <v>2</v>
      </c>
      <c r="D14" s="42">
        <v>5000</v>
      </c>
      <c r="E14" s="42">
        <v>10000</v>
      </c>
      <c r="F14" s="53">
        <v>1</v>
      </c>
      <c r="G14" s="74">
        <f>IF(SUM(E5:E25)=0,0,E14/SUM(E5:E25))</f>
        <v>8.3970106642035428E-3</v>
      </c>
      <c r="H14" s="75"/>
      <c r="I14" s="75"/>
      <c r="J14" s="75"/>
      <c r="K14" s="75"/>
      <c r="L14" s="75"/>
      <c r="M14" s="75"/>
      <c r="N14" s="75"/>
      <c r="O14" s="75"/>
    </row>
    <row r="15" spans="1:18" s="39" customFormat="1" x14ac:dyDescent="0.25">
      <c r="A15" s="71" t="s">
        <v>16</v>
      </c>
      <c r="B15" s="36" t="s">
        <v>30</v>
      </c>
      <c r="C15" s="76">
        <v>1</v>
      </c>
      <c r="D15" s="37">
        <v>6000</v>
      </c>
      <c r="E15" s="37">
        <v>6000</v>
      </c>
      <c r="F15" s="57">
        <v>1</v>
      </c>
      <c r="G15" s="72">
        <f>IF(SUM(E5:E25)=0,0,E15/SUM(E5:E25))</f>
        <v>5.0382063985221258E-3</v>
      </c>
      <c r="H15" s="75"/>
      <c r="I15" s="75"/>
      <c r="J15" s="75"/>
      <c r="K15" s="75"/>
      <c r="L15" s="75"/>
      <c r="M15" s="75"/>
      <c r="N15" s="75"/>
      <c r="O15" s="75"/>
      <c r="P15" s="40"/>
      <c r="Q15" s="40"/>
      <c r="R15" s="40"/>
    </row>
    <row r="16" spans="1:18" s="40" customFormat="1" x14ac:dyDescent="0.25">
      <c r="A16" s="73" t="s">
        <v>18</v>
      </c>
      <c r="B16" s="41" t="s">
        <v>19</v>
      </c>
      <c r="C16" s="78">
        <v>6</v>
      </c>
      <c r="D16" s="42">
        <v>15000</v>
      </c>
      <c r="E16" s="42">
        <v>90000</v>
      </c>
      <c r="F16" s="53">
        <v>1</v>
      </c>
      <c r="G16" s="74">
        <f>IF(SUM(E5:E25)=0,0,E16/SUM(E5:E25))</f>
        <v>7.5573095977831892E-2</v>
      </c>
      <c r="H16" s="75"/>
      <c r="I16" s="75"/>
      <c r="J16" s="75"/>
      <c r="K16" s="75"/>
      <c r="L16" s="75"/>
      <c r="M16" s="75"/>
      <c r="N16" s="75"/>
      <c r="O16" s="75"/>
    </row>
    <row r="17" spans="1:18" s="39" customFormat="1" x14ac:dyDescent="0.25">
      <c r="A17" s="71" t="s">
        <v>18</v>
      </c>
      <c r="B17" s="36" t="s">
        <v>31</v>
      </c>
      <c r="C17" s="76">
        <v>6</v>
      </c>
      <c r="D17" s="37">
        <v>8000</v>
      </c>
      <c r="E17" s="37">
        <v>48000</v>
      </c>
      <c r="F17" s="57">
        <v>1</v>
      </c>
      <c r="G17" s="72">
        <f>IF(SUM(E5:E25)=0,0,E17/SUM(E5:E25))</f>
        <v>4.0305651188177007E-2</v>
      </c>
      <c r="H17" s="75"/>
      <c r="I17" s="75"/>
      <c r="J17" s="75"/>
      <c r="K17" s="75"/>
      <c r="L17" s="75"/>
      <c r="M17" s="75"/>
      <c r="N17" s="75"/>
      <c r="O17" s="75"/>
      <c r="P17" s="40"/>
      <c r="Q17" s="40"/>
      <c r="R17" s="40"/>
    </row>
    <row r="18" spans="1:18" s="40" customFormat="1" x14ac:dyDescent="0.25">
      <c r="A18" s="73" t="s">
        <v>18</v>
      </c>
      <c r="B18" s="41" t="s">
        <v>36</v>
      </c>
      <c r="C18" s="78">
        <v>5</v>
      </c>
      <c r="D18" s="42">
        <v>8000</v>
      </c>
      <c r="E18" s="42">
        <v>40000</v>
      </c>
      <c r="F18" s="53">
        <v>1</v>
      </c>
      <c r="G18" s="74">
        <f>IF(SUM(E5:E25)=0,0,E18/SUM(E5:E25))</f>
        <v>3.3588042656814171E-2</v>
      </c>
      <c r="H18" s="75"/>
      <c r="I18" s="75"/>
      <c r="J18" s="75"/>
      <c r="K18" s="75"/>
      <c r="L18" s="75"/>
      <c r="M18" s="75"/>
      <c r="N18" s="75"/>
      <c r="O18" s="75"/>
    </row>
    <row r="19" spans="1:18" s="39" customFormat="1" x14ac:dyDescent="0.25">
      <c r="A19" s="71" t="s">
        <v>18</v>
      </c>
      <c r="B19" s="36" t="s">
        <v>20</v>
      </c>
      <c r="C19" s="76">
        <v>5</v>
      </c>
      <c r="D19" s="37">
        <v>6000</v>
      </c>
      <c r="E19" s="37">
        <v>39000</v>
      </c>
      <c r="F19" s="57">
        <v>3</v>
      </c>
      <c r="G19" s="72">
        <f>IF(SUM(E5:E25)=0,0,E19/SUM(E5:E25))</f>
        <v>3.2748341590393817E-2</v>
      </c>
      <c r="H19" s="75"/>
      <c r="I19" s="75"/>
      <c r="J19" s="75"/>
      <c r="K19" s="75"/>
      <c r="L19" s="75"/>
      <c r="M19" s="75"/>
      <c r="N19" s="75"/>
      <c r="O19" s="75"/>
      <c r="P19" s="40"/>
      <c r="Q19" s="40"/>
      <c r="R19" s="40"/>
    </row>
    <row r="20" spans="1:18" s="40" customFormat="1" x14ac:dyDescent="0.25">
      <c r="A20" s="73" t="s">
        <v>18</v>
      </c>
      <c r="B20" s="41" t="s">
        <v>24</v>
      </c>
      <c r="C20" s="78">
        <v>7</v>
      </c>
      <c r="D20" s="42">
        <v>5000</v>
      </c>
      <c r="E20" s="42">
        <v>34000</v>
      </c>
      <c r="F20" s="53">
        <v>3</v>
      </c>
      <c r="G20" s="74">
        <f>IF(SUM(E5:E25)=0,0,E20/SUM(E5:E25))</f>
        <v>2.854983625829205E-2</v>
      </c>
      <c r="H20" s="75"/>
      <c r="I20" s="75"/>
      <c r="J20" s="75"/>
      <c r="K20" s="75"/>
      <c r="L20" s="75"/>
      <c r="M20" s="75"/>
      <c r="N20" s="75"/>
      <c r="O20" s="75"/>
    </row>
    <row r="21" spans="1:18" s="39" customFormat="1" x14ac:dyDescent="0.25">
      <c r="A21" s="71" t="s">
        <v>18</v>
      </c>
      <c r="B21" s="36" t="s">
        <v>41</v>
      </c>
      <c r="C21" s="76">
        <v>1</v>
      </c>
      <c r="D21" s="37">
        <v>22500</v>
      </c>
      <c r="E21" s="37">
        <v>22500</v>
      </c>
      <c r="F21" s="57">
        <v>1</v>
      </c>
      <c r="G21" s="72">
        <f>IF(SUM(E5:E25)=0,0,E21/SUM(E5:E25))</f>
        <v>1.8893273994457973E-2</v>
      </c>
      <c r="H21" s="75"/>
      <c r="I21" s="75"/>
      <c r="J21" s="75"/>
      <c r="K21" s="75"/>
      <c r="L21" s="75"/>
      <c r="M21" s="75"/>
      <c r="N21" s="75"/>
      <c r="O21" s="75"/>
      <c r="P21" s="40"/>
      <c r="Q21" s="40"/>
      <c r="R21" s="40"/>
    </row>
    <row r="22" spans="1:18" s="40" customFormat="1" x14ac:dyDescent="0.25">
      <c r="A22" s="73" t="s">
        <v>18</v>
      </c>
      <c r="B22" s="41" t="s">
        <v>23</v>
      </c>
      <c r="C22" s="78">
        <v>1</v>
      </c>
      <c r="D22" s="42">
        <v>20000</v>
      </c>
      <c r="E22" s="42">
        <v>20000</v>
      </c>
      <c r="F22" s="53">
        <v>1</v>
      </c>
      <c r="G22" s="74">
        <f>IF(SUM(E5:E25)=0,0,E22/SUM(E5:E25))</f>
        <v>1.6794021328407086E-2</v>
      </c>
      <c r="H22" s="75"/>
      <c r="I22" s="75"/>
      <c r="J22" s="75"/>
      <c r="K22" s="75"/>
      <c r="L22" s="75"/>
      <c r="M22" s="75"/>
      <c r="N22" s="75"/>
      <c r="O22" s="75"/>
    </row>
    <row r="23" spans="1:18" s="39" customFormat="1" x14ac:dyDescent="0.25">
      <c r="A23" s="71" t="s">
        <v>18</v>
      </c>
      <c r="B23" s="36" t="s">
        <v>32</v>
      </c>
      <c r="C23" s="76">
        <v>1</v>
      </c>
      <c r="D23" s="37">
        <v>20000</v>
      </c>
      <c r="E23" s="37">
        <v>20000</v>
      </c>
      <c r="F23" s="57">
        <v>1</v>
      </c>
      <c r="G23" s="72">
        <f>IF(SUM(E5:E25)=0,0,E23/SUM(E5:E25))</f>
        <v>1.6794021328407086E-2</v>
      </c>
      <c r="H23" s="75"/>
      <c r="I23" s="75"/>
      <c r="J23" s="75"/>
      <c r="K23" s="75"/>
      <c r="L23" s="75"/>
      <c r="M23" s="75"/>
      <c r="N23" s="75"/>
      <c r="O23" s="75"/>
      <c r="P23" s="40"/>
      <c r="Q23" s="40"/>
      <c r="R23" s="40"/>
    </row>
    <row r="24" spans="1:18" s="40" customFormat="1" x14ac:dyDescent="0.25">
      <c r="A24" s="73" t="s">
        <v>18</v>
      </c>
      <c r="B24" s="41" t="s">
        <v>35</v>
      </c>
      <c r="C24" s="78">
        <v>1</v>
      </c>
      <c r="D24" s="42">
        <v>5000</v>
      </c>
      <c r="E24" s="42">
        <v>5000</v>
      </c>
      <c r="F24" s="53">
        <v>1</v>
      </c>
      <c r="G24" s="74">
        <f>IF(SUM(E5:E25)=0,0,E24/SUM(E5:E25))</f>
        <v>4.1985053321017714E-3</v>
      </c>
      <c r="H24" s="75"/>
      <c r="I24" s="75"/>
      <c r="J24" s="75"/>
      <c r="K24" s="75"/>
      <c r="L24" s="75"/>
      <c r="M24" s="75"/>
      <c r="N24" s="75"/>
      <c r="O24" s="75"/>
    </row>
    <row r="25" spans="1:18" s="39" customFormat="1" x14ac:dyDescent="0.25">
      <c r="A25" s="71" t="s">
        <v>39</v>
      </c>
      <c r="B25" s="36" t="s">
        <v>40</v>
      </c>
      <c r="C25" s="76">
        <v>2</v>
      </c>
      <c r="D25" s="37">
        <v>50000</v>
      </c>
      <c r="E25" s="37">
        <v>100000</v>
      </c>
      <c r="F25" s="57">
        <v>2</v>
      </c>
      <c r="G25" s="72">
        <f>IF(SUM(E5:E25)=0,0,E25/SUM(E5:E25))</f>
        <v>8.3970106642035441E-2</v>
      </c>
      <c r="H25" s="75"/>
      <c r="I25" s="75"/>
      <c r="J25" s="75"/>
      <c r="K25" s="75"/>
      <c r="L25" s="75"/>
      <c r="M25" s="75"/>
      <c r="N25" s="75"/>
      <c r="O25" s="75"/>
      <c r="P25" s="40"/>
      <c r="Q25" s="40"/>
      <c r="R25" s="40"/>
    </row>
    <row r="26" spans="1:18" x14ac:dyDescent="0.25">
      <c r="A26" s="20" t="s">
        <v>70</v>
      </c>
      <c r="B26" s="32"/>
      <c r="C26" s="79"/>
      <c r="D26" s="32"/>
      <c r="E26" s="22">
        <f>SUM(E5:E25)</f>
        <v>1190900</v>
      </c>
      <c r="F26" s="79"/>
      <c r="G26" s="33" t="s">
        <v>71</v>
      </c>
      <c r="H26" s="75"/>
      <c r="I26" s="75"/>
      <c r="J26" s="75"/>
      <c r="K26" s="75"/>
      <c r="L26" s="75"/>
      <c r="M26" s="75"/>
      <c r="N26" s="75"/>
      <c r="O26" s="75"/>
      <c r="P26" s="40"/>
      <c r="Q26" s="40"/>
      <c r="R26" s="40"/>
    </row>
    <row r="27" spans="1:18" x14ac:dyDescent="0.25">
      <c r="H27" s="75"/>
      <c r="I27" s="75"/>
      <c r="J27" s="75"/>
      <c r="K27" s="75"/>
      <c r="L27" s="75"/>
      <c r="M27" s="75"/>
      <c r="N27" s="75"/>
      <c r="O27" s="75"/>
      <c r="P27" s="40"/>
      <c r="Q27" s="40"/>
      <c r="R27" s="40"/>
    </row>
    <row r="28" spans="1:18" x14ac:dyDescent="0.25">
      <c r="N28" s="40"/>
      <c r="O28" s="40"/>
      <c r="P28" s="40"/>
      <c r="Q28" s="40"/>
      <c r="R28" s="40"/>
    </row>
    <row r="29" spans="1:18" x14ac:dyDescent="0.25">
      <c r="N29" s="40"/>
      <c r="O29" s="40"/>
      <c r="P29" s="40"/>
      <c r="Q29" s="40"/>
      <c r="R29" s="40"/>
    </row>
    <row r="30" spans="1:18" x14ac:dyDescent="0.25">
      <c r="N30" s="40"/>
      <c r="O30" s="40"/>
      <c r="P30" s="40"/>
      <c r="Q30" s="40"/>
      <c r="R30" s="40"/>
    </row>
    <row r="31" spans="1:18" x14ac:dyDescent="0.25">
      <c r="N31" s="40"/>
      <c r="O31" s="40"/>
      <c r="P31" s="40"/>
      <c r="Q31" s="40"/>
      <c r="R31" s="40"/>
    </row>
  </sheetData>
  <mergeCells count="2">
    <mergeCell ref="A1:G1"/>
    <mergeCell ref="A2:G2"/>
  </mergeCells>
  <pageMargins left="0.75" right="0.75" top="1" bottom="1" header="0.511811023622047" footer="0.511811023622047"/>
  <pageSetup paperSize="9" scale="68" orientation="portrait" horizontalDpi="300" verticalDpi="300" r:id="rId1"/>
  <colBreaks count="1" manualBreakCount="1">
    <brk id="8" max="1048575" man="1"/>
  </col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H4"/>
  <sheetViews>
    <sheetView showGridLines="0" zoomScaleNormal="100" workbookViewId="0">
      <selection activeCell="G13" sqref="G13"/>
    </sheetView>
  </sheetViews>
  <sheetFormatPr defaultColWidth="8.7109375" defaultRowHeight="15" x14ac:dyDescent="0.25"/>
  <cols>
    <col min="1" max="1" width="7.140625" bestFit="1" customWidth="1"/>
    <col min="2" max="2" width="11.42578125" bestFit="1" customWidth="1"/>
    <col min="3" max="3" width="12.28515625" bestFit="1" customWidth="1"/>
    <col min="4" max="4" width="12.42578125" bestFit="1" customWidth="1"/>
    <col min="5" max="5" width="9.28515625" bestFit="1" customWidth="1"/>
    <col min="7" max="7" width="13.5703125" bestFit="1" customWidth="1"/>
    <col min="8" max="8" width="12.28515625" bestFit="1" customWidth="1"/>
  </cols>
  <sheetData>
    <row r="1" spans="1:8" x14ac:dyDescent="0.25">
      <c r="A1" s="4" t="s">
        <v>72</v>
      </c>
      <c r="B1" s="4" t="s">
        <v>50</v>
      </c>
      <c r="C1" s="4" t="s">
        <v>45</v>
      </c>
      <c r="D1" s="4" t="s">
        <v>46</v>
      </c>
      <c r="E1" s="4" t="s">
        <v>51</v>
      </c>
      <c r="G1" s="4" t="s">
        <v>4</v>
      </c>
      <c r="H1" s="4" t="s">
        <v>45</v>
      </c>
    </row>
    <row r="2" spans="1:8" x14ac:dyDescent="0.25">
      <c r="A2" t="s">
        <v>73</v>
      </c>
      <c r="B2" s="5">
        <f>Summary!B10</f>
        <v>964000</v>
      </c>
      <c r="C2" s="5">
        <f>Summary!C10</f>
        <v>331000</v>
      </c>
      <c r="D2" s="5">
        <f>Summary!D10</f>
        <v>633000</v>
      </c>
      <c r="E2" s="6">
        <f>Summary!E10</f>
        <v>0.65663900414937759</v>
      </c>
      <c r="G2" t="s">
        <v>16</v>
      </c>
      <c r="H2" s="5">
        <f>Summary!B17</f>
        <v>745902</v>
      </c>
    </row>
    <row r="3" spans="1:8" x14ac:dyDescent="0.25">
      <c r="A3" t="s">
        <v>74</v>
      </c>
      <c r="B3" s="5">
        <f>Summary!B11</f>
        <v>1044000</v>
      </c>
      <c r="C3" s="5">
        <f>Summary!C11</f>
        <v>278500</v>
      </c>
      <c r="D3" s="5">
        <f>Summary!D11</f>
        <v>765500</v>
      </c>
      <c r="E3" s="6">
        <f>Summary!E11</f>
        <v>0.73323754789272033</v>
      </c>
      <c r="G3" t="s">
        <v>18</v>
      </c>
      <c r="H3" s="5">
        <f>Summary!B18</f>
        <v>318500</v>
      </c>
    </row>
    <row r="4" spans="1:8" x14ac:dyDescent="0.25">
      <c r="A4" t="s">
        <v>75</v>
      </c>
      <c r="B4" s="5">
        <f>Summary!B12</f>
        <v>1044000</v>
      </c>
      <c r="C4" s="5">
        <f>Summary!C12</f>
        <v>504902</v>
      </c>
      <c r="D4" s="5">
        <f>Summary!D12</f>
        <v>539098</v>
      </c>
      <c r="E4" s="6">
        <f>Summary!E12</f>
        <v>0.51637739463601529</v>
      </c>
      <c r="G4" t="s">
        <v>39</v>
      </c>
      <c r="H4" s="5">
        <f>Summary!B19</f>
        <v>50000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N50"/>
  <sheetViews>
    <sheetView showGridLines="0" tabSelected="1" topLeftCell="B1" zoomScale="120" zoomScaleNormal="120" workbookViewId="0">
      <selection activeCell="Q8" sqref="Q8"/>
    </sheetView>
  </sheetViews>
  <sheetFormatPr defaultColWidth="8.7109375" defaultRowHeight="15" x14ac:dyDescent="0.25"/>
  <cols>
    <col min="1" max="14" width="9.5703125" customWidth="1"/>
  </cols>
  <sheetData>
    <row r="1" spans="1:14" ht="21" x14ac:dyDescent="0.25">
      <c r="A1" s="112" t="s">
        <v>76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x14ac:dyDescent="0.25">
      <c r="A2" s="82" t="s">
        <v>157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4" spans="1:14" x14ac:dyDescent="0.25">
      <c r="A4" s="91" t="s">
        <v>77</v>
      </c>
      <c r="B4" s="91"/>
      <c r="C4" s="92" t="s">
        <v>78</v>
      </c>
      <c r="D4" s="92"/>
      <c r="E4" s="93" t="s">
        <v>79</v>
      </c>
      <c r="F4" s="93"/>
      <c r="G4" s="94" t="s">
        <v>80</v>
      </c>
      <c r="H4" s="94"/>
      <c r="I4" s="113" t="s">
        <v>52</v>
      </c>
      <c r="J4" s="113"/>
      <c r="K4" s="114" t="s">
        <v>81</v>
      </c>
      <c r="L4" s="114"/>
    </row>
    <row r="5" spans="1:14" ht="21" x14ac:dyDescent="0.25">
      <c r="A5" s="107">
        <f>Summary!A5</f>
        <v>3052000</v>
      </c>
      <c r="B5" s="107"/>
      <c r="C5" s="108">
        <f>Summary!C5</f>
        <v>1114402</v>
      </c>
      <c r="D5" s="108"/>
      <c r="E5" s="109">
        <f>Summary!E5</f>
        <v>1937598</v>
      </c>
      <c r="F5" s="109"/>
      <c r="G5" s="110">
        <f>Summary!G5</f>
        <v>0.6348617300131062</v>
      </c>
      <c r="H5" s="110"/>
      <c r="I5" s="111">
        <f>Summary!F13</f>
        <v>763</v>
      </c>
      <c r="J5" s="111"/>
      <c r="K5" s="105">
        <f>IF(Summary!F13=0,0,Summary!A5/Summary!F13)</f>
        <v>4000</v>
      </c>
      <c r="L5" s="105"/>
    </row>
    <row r="6" spans="1:14" x14ac:dyDescent="0.25">
      <c r="A6" s="106" t="s">
        <v>82</v>
      </c>
      <c r="B6" s="106"/>
      <c r="C6" s="106" t="s">
        <v>83</v>
      </c>
      <c r="D6" s="106"/>
      <c r="E6" s="106" t="s">
        <v>84</v>
      </c>
      <c r="F6" s="106"/>
      <c r="G6" s="106" t="s">
        <v>85</v>
      </c>
      <c r="H6" s="106"/>
      <c r="I6" s="106" t="s">
        <v>86</v>
      </c>
      <c r="J6" s="106"/>
      <c r="K6" s="106" t="s">
        <v>87</v>
      </c>
      <c r="L6" s="106"/>
    </row>
    <row r="8" spans="1:14" x14ac:dyDescent="0.25">
      <c r="A8" s="97" t="s">
        <v>88</v>
      </c>
      <c r="B8" s="97"/>
      <c r="C8" s="97"/>
      <c r="D8" s="97"/>
      <c r="E8" s="98" t="s">
        <v>89</v>
      </c>
      <c r="F8" s="98"/>
      <c r="G8" s="98"/>
      <c r="H8" s="98"/>
      <c r="I8" s="99" t="s">
        <v>90</v>
      </c>
      <c r="J8" s="99"/>
      <c r="K8" s="99"/>
      <c r="L8" s="100" t="s">
        <v>91</v>
      </c>
      <c r="M8" s="100"/>
      <c r="N8" s="100"/>
    </row>
    <row r="9" spans="1:14" ht="17.25" x14ac:dyDescent="0.25">
      <c r="A9" s="101">
        <f>MAX(_ChartData!D2:D4)</f>
        <v>765500</v>
      </c>
      <c r="B9" s="101"/>
      <c r="C9" s="101"/>
      <c r="D9" s="101"/>
      <c r="E9" s="102">
        <f>MIN(_ChartData!E2:E4)</f>
        <v>0.51637739463601529</v>
      </c>
      <c r="F9" s="102"/>
      <c r="G9" s="102"/>
      <c r="H9" s="102"/>
      <c r="I9" s="103">
        <f>AVERAGE(_ChartData!B2:B4)/4000</f>
        <v>254.33333333333334</v>
      </c>
      <c r="J9" s="103"/>
      <c r="K9" s="103"/>
      <c r="L9" s="104">
        <f>COUNTA(_ChartData!A2:A4)</f>
        <v>3</v>
      </c>
      <c r="M9" s="104"/>
      <c r="N9" s="104"/>
    </row>
    <row r="10" spans="1:14" x14ac:dyDescent="0.2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</row>
    <row r="12" spans="1:14" x14ac:dyDescent="0.25">
      <c r="A12" s="95" t="s">
        <v>92</v>
      </c>
      <c r="B12" s="95"/>
      <c r="C12" s="95"/>
      <c r="D12" s="95"/>
      <c r="E12" s="95"/>
      <c r="F12" s="95"/>
      <c r="G12" s="95"/>
      <c r="H12" s="95" t="s">
        <v>60</v>
      </c>
      <c r="I12" s="95"/>
      <c r="J12" s="95"/>
      <c r="K12" s="95"/>
      <c r="L12" s="95"/>
      <c r="M12" s="95"/>
      <c r="N12" s="95"/>
    </row>
    <row r="30" spans="1:14" x14ac:dyDescent="0.25">
      <c r="A30" s="95" t="s">
        <v>93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</row>
    <row r="44" spans="1:14" x14ac:dyDescent="0.25">
      <c r="A44" s="117" t="s">
        <v>94</v>
      </c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</row>
    <row r="45" spans="1:14" x14ac:dyDescent="0.25">
      <c r="A45" s="118" t="s">
        <v>95</v>
      </c>
      <c r="B45" s="118"/>
      <c r="C45" s="118"/>
      <c r="D45" s="119" t="s">
        <v>96</v>
      </c>
      <c r="E45" s="119"/>
      <c r="F45" s="119"/>
      <c r="G45" s="119"/>
      <c r="H45" s="119"/>
      <c r="I45" s="119"/>
      <c r="J45" s="119"/>
      <c r="K45" s="119"/>
      <c r="L45" s="119"/>
      <c r="M45" s="119"/>
      <c r="N45" s="119"/>
    </row>
    <row r="46" spans="1:14" x14ac:dyDescent="0.25">
      <c r="A46" s="120" t="s">
        <v>97</v>
      </c>
      <c r="B46" s="120"/>
      <c r="C46" s="120"/>
      <c r="D46" s="121" t="s">
        <v>98</v>
      </c>
      <c r="E46" s="121"/>
      <c r="F46" s="121"/>
      <c r="G46" s="121"/>
      <c r="H46" s="121"/>
      <c r="I46" s="121"/>
      <c r="J46" s="121"/>
      <c r="K46" s="121"/>
      <c r="L46" s="121"/>
      <c r="M46" s="121"/>
      <c r="N46" s="121"/>
    </row>
    <row r="47" spans="1:14" x14ac:dyDescent="0.25">
      <c r="A47" s="118" t="s">
        <v>99</v>
      </c>
      <c r="B47" s="118"/>
      <c r="C47" s="118"/>
      <c r="D47" s="119" t="s">
        <v>100</v>
      </c>
      <c r="E47" s="119"/>
      <c r="F47" s="119"/>
      <c r="G47" s="119"/>
      <c r="H47" s="119"/>
      <c r="I47" s="119"/>
      <c r="J47" s="119"/>
      <c r="K47" s="119"/>
      <c r="L47" s="119"/>
      <c r="M47" s="119"/>
      <c r="N47" s="119"/>
    </row>
    <row r="48" spans="1:14" x14ac:dyDescent="0.25">
      <c r="A48" s="120" t="s">
        <v>101</v>
      </c>
      <c r="B48" s="120"/>
      <c r="C48" s="120"/>
      <c r="D48" s="121" t="s">
        <v>102</v>
      </c>
      <c r="E48" s="121"/>
      <c r="F48" s="121"/>
      <c r="G48" s="121"/>
      <c r="H48" s="121"/>
      <c r="I48" s="121"/>
      <c r="J48" s="121"/>
      <c r="K48" s="121"/>
      <c r="L48" s="121"/>
      <c r="M48" s="121"/>
      <c r="N48" s="121"/>
    </row>
    <row r="49" spans="1:14" x14ac:dyDescent="0.25">
      <c r="A49" s="118" t="s">
        <v>103</v>
      </c>
      <c r="B49" s="118"/>
      <c r="C49" s="118"/>
      <c r="D49" s="119" t="s">
        <v>104</v>
      </c>
      <c r="E49" s="119"/>
      <c r="F49" s="119"/>
      <c r="G49" s="119"/>
      <c r="H49" s="119"/>
      <c r="I49" s="119"/>
      <c r="J49" s="119"/>
      <c r="K49" s="119"/>
      <c r="L49" s="119"/>
      <c r="M49" s="119"/>
      <c r="N49" s="119"/>
    </row>
    <row r="50" spans="1:14" x14ac:dyDescent="0.25">
      <c r="A50" s="120" t="s">
        <v>105</v>
      </c>
      <c r="B50" s="120"/>
      <c r="C50" s="120"/>
      <c r="D50" s="121" t="s">
        <v>106</v>
      </c>
      <c r="E50" s="121"/>
      <c r="F50" s="121"/>
      <c r="G50" s="121"/>
      <c r="H50" s="121"/>
      <c r="I50" s="121"/>
      <c r="J50" s="121"/>
      <c r="K50" s="121"/>
      <c r="L50" s="121"/>
      <c r="M50" s="121"/>
      <c r="N50" s="121"/>
    </row>
  </sheetData>
  <mergeCells count="48">
    <mergeCell ref="A1:N1"/>
    <mergeCell ref="A2:N2"/>
    <mergeCell ref="A4:B4"/>
    <mergeCell ref="C4:D4"/>
    <mergeCell ref="E4:F4"/>
    <mergeCell ref="G4:H4"/>
    <mergeCell ref="I4:J4"/>
    <mergeCell ref="K4:L4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8:D8"/>
    <mergeCell ref="E8:H8"/>
    <mergeCell ref="I8:K8"/>
    <mergeCell ref="L8:N8"/>
    <mergeCell ref="A9:D9"/>
    <mergeCell ref="E9:H9"/>
    <mergeCell ref="I9:K9"/>
    <mergeCell ref="L9:N9"/>
    <mergeCell ref="A10:D10"/>
    <mergeCell ref="E10:H10"/>
    <mergeCell ref="I10:K10"/>
    <mergeCell ref="L10:N10"/>
    <mergeCell ref="A12:G12"/>
    <mergeCell ref="H12:N12"/>
    <mergeCell ref="A30:N30"/>
    <mergeCell ref="A44:N44"/>
    <mergeCell ref="A45:C45"/>
    <mergeCell ref="D45:N45"/>
    <mergeCell ref="A46:C46"/>
    <mergeCell ref="D46:N46"/>
    <mergeCell ref="A50:C50"/>
    <mergeCell ref="D50:N50"/>
    <mergeCell ref="A47:C47"/>
    <mergeCell ref="D47:N47"/>
    <mergeCell ref="A48:C48"/>
    <mergeCell ref="D48:N48"/>
    <mergeCell ref="A49:C49"/>
    <mergeCell ref="D49:N49"/>
  </mergeCells>
  <pageMargins left="0.75" right="0.75" top="1" bottom="1" header="0.511811023622047" footer="0.511811023622047"/>
  <pageSetup paperSize="9" scale="6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D23"/>
  <sheetViews>
    <sheetView showGridLines="0" view="pageBreakPreview" zoomScale="60" zoomScaleNormal="100" workbookViewId="0">
      <selection activeCell="G18" sqref="G18"/>
    </sheetView>
  </sheetViews>
  <sheetFormatPr defaultColWidth="8.7109375" defaultRowHeight="15" x14ac:dyDescent="0.25"/>
  <cols>
    <col min="1" max="1" width="25.5703125" bestFit="1" customWidth="1"/>
    <col min="2" max="2" width="27.28515625" bestFit="1" customWidth="1"/>
    <col min="3" max="3" width="29.42578125" bestFit="1" customWidth="1"/>
    <col min="4" max="4" width="7.5703125" bestFit="1" customWidth="1"/>
  </cols>
  <sheetData>
    <row r="1" spans="1:4" ht="18.75" x14ac:dyDescent="0.25">
      <c r="A1" s="81" t="s">
        <v>107</v>
      </c>
      <c r="B1" s="81"/>
      <c r="C1" s="81"/>
      <c r="D1" s="81"/>
    </row>
    <row r="2" spans="1:4" x14ac:dyDescent="0.25">
      <c r="A2" s="83" t="s">
        <v>108</v>
      </c>
      <c r="B2" s="83"/>
      <c r="C2" s="83"/>
      <c r="D2" s="83"/>
    </row>
    <row r="4" spans="1:4" x14ac:dyDescent="0.25">
      <c r="A4" s="115" t="s">
        <v>109</v>
      </c>
      <c r="B4" s="115"/>
      <c r="C4" s="115"/>
      <c r="D4" s="115"/>
    </row>
    <row r="5" spans="1:4" x14ac:dyDescent="0.25">
      <c r="A5" s="3" t="s">
        <v>110</v>
      </c>
      <c r="B5" s="3" t="s">
        <v>111</v>
      </c>
      <c r="C5" s="3" t="s">
        <v>112</v>
      </c>
      <c r="D5" s="3" t="s">
        <v>113</v>
      </c>
    </row>
    <row r="6" spans="1:4" x14ac:dyDescent="0.25">
      <c r="A6" s="2" t="s">
        <v>114</v>
      </c>
      <c r="B6" s="7" t="s">
        <v>115</v>
      </c>
      <c r="C6" s="2" t="s">
        <v>116</v>
      </c>
      <c r="D6" s="8" t="s">
        <v>117</v>
      </c>
    </row>
    <row r="7" spans="1:4" x14ac:dyDescent="0.25">
      <c r="A7" s="1" t="s">
        <v>118</v>
      </c>
      <c r="B7" s="9" t="s">
        <v>119</v>
      </c>
      <c r="C7" s="1" t="s">
        <v>120</v>
      </c>
      <c r="D7" s="10" t="s">
        <v>117</v>
      </c>
    </row>
    <row r="8" spans="1:4" x14ac:dyDescent="0.25">
      <c r="A8" s="2" t="s">
        <v>121</v>
      </c>
      <c r="B8" s="7" t="s">
        <v>122</v>
      </c>
      <c r="C8" s="2" t="s">
        <v>123</v>
      </c>
      <c r="D8" s="8" t="s">
        <v>117</v>
      </c>
    </row>
    <row r="9" spans="1:4" x14ac:dyDescent="0.25">
      <c r="A9" s="1" t="s">
        <v>124</v>
      </c>
      <c r="B9" s="9" t="s">
        <v>125</v>
      </c>
      <c r="C9" s="1" t="s">
        <v>126</v>
      </c>
      <c r="D9" s="10" t="s">
        <v>117</v>
      </c>
    </row>
    <row r="11" spans="1:4" x14ac:dyDescent="0.25">
      <c r="A11" s="115" t="s">
        <v>127</v>
      </c>
      <c r="B11" s="115"/>
      <c r="C11" s="115"/>
      <c r="D11" s="115"/>
    </row>
    <row r="12" spans="1:4" x14ac:dyDescent="0.25">
      <c r="A12" s="3" t="s">
        <v>110</v>
      </c>
      <c r="B12" s="3" t="s">
        <v>111</v>
      </c>
      <c r="C12" s="3" t="s">
        <v>112</v>
      </c>
      <c r="D12" s="3" t="s">
        <v>113</v>
      </c>
    </row>
    <row r="13" spans="1:4" x14ac:dyDescent="0.25">
      <c r="A13" s="2" t="s">
        <v>128</v>
      </c>
      <c r="B13" s="2" t="s">
        <v>129</v>
      </c>
      <c r="C13" s="2" t="s">
        <v>130</v>
      </c>
      <c r="D13" s="11" t="s">
        <v>131</v>
      </c>
    </row>
    <row r="14" spans="1:4" x14ac:dyDescent="0.25">
      <c r="A14" s="1" t="s">
        <v>132</v>
      </c>
      <c r="B14" s="1" t="s">
        <v>133</v>
      </c>
      <c r="C14" s="1" t="s">
        <v>134</v>
      </c>
      <c r="D14" s="12" t="s">
        <v>131</v>
      </c>
    </row>
    <row r="15" spans="1:4" x14ac:dyDescent="0.25">
      <c r="A15" s="2" t="s">
        <v>135</v>
      </c>
      <c r="B15" s="2" t="s">
        <v>136</v>
      </c>
      <c r="C15" s="2" t="s">
        <v>137</v>
      </c>
      <c r="D15" s="11" t="s">
        <v>131</v>
      </c>
    </row>
    <row r="16" spans="1:4" x14ac:dyDescent="0.25">
      <c r="A16" s="1" t="s">
        <v>138</v>
      </c>
      <c r="B16" s="1" t="s">
        <v>139</v>
      </c>
      <c r="C16" s="1" t="s">
        <v>140</v>
      </c>
      <c r="D16" s="12" t="s">
        <v>131</v>
      </c>
    </row>
    <row r="18" spans="1:4" x14ac:dyDescent="0.25">
      <c r="A18" s="115" t="s">
        <v>141</v>
      </c>
      <c r="B18" s="115"/>
      <c r="C18" s="115"/>
      <c r="D18" s="115"/>
    </row>
    <row r="19" spans="1:4" x14ac:dyDescent="0.25">
      <c r="A19" s="3" t="s">
        <v>110</v>
      </c>
      <c r="B19" s="3" t="s">
        <v>111</v>
      </c>
      <c r="C19" s="3" t="s">
        <v>112</v>
      </c>
      <c r="D19" s="3" t="s">
        <v>113</v>
      </c>
    </row>
    <row r="20" spans="1:4" x14ac:dyDescent="0.25">
      <c r="A20" s="2" t="s">
        <v>142</v>
      </c>
      <c r="B20" s="2" t="s">
        <v>143</v>
      </c>
      <c r="C20" s="2" t="s">
        <v>144</v>
      </c>
      <c r="D20" s="11" t="s">
        <v>131</v>
      </c>
    </row>
    <row r="21" spans="1:4" x14ac:dyDescent="0.25">
      <c r="A21" s="1" t="s">
        <v>145</v>
      </c>
      <c r="B21" s="1" t="s">
        <v>146</v>
      </c>
      <c r="C21" s="1" t="s">
        <v>147</v>
      </c>
      <c r="D21" s="12" t="s">
        <v>131</v>
      </c>
    </row>
    <row r="22" spans="1:4" x14ac:dyDescent="0.25">
      <c r="A22" s="2" t="s">
        <v>148</v>
      </c>
      <c r="B22" s="2" t="s">
        <v>149</v>
      </c>
      <c r="C22" s="2" t="s">
        <v>150</v>
      </c>
      <c r="D22" s="11" t="s">
        <v>131</v>
      </c>
    </row>
    <row r="23" spans="1:4" x14ac:dyDescent="0.25">
      <c r="A23" s="1" t="s">
        <v>151</v>
      </c>
      <c r="B23" s="1" t="s">
        <v>152</v>
      </c>
      <c r="C23" s="1" t="s">
        <v>153</v>
      </c>
      <c r="D23" s="12" t="s">
        <v>131</v>
      </c>
    </row>
  </sheetData>
  <mergeCells count="5">
    <mergeCell ref="A1:D1"/>
    <mergeCell ref="A2:D2"/>
    <mergeCell ref="A4:D4"/>
    <mergeCell ref="A11:D11"/>
    <mergeCell ref="A18:D18"/>
  </mergeCells>
  <pageMargins left="0.75" right="0.75" top="1" bottom="1" header="0.511811023622047" footer="0.511811023622047"/>
  <pageSetup paperSize="9" scale="8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Raw Data</vt:lpstr>
      <vt:lpstr>Summary</vt:lpstr>
      <vt:lpstr>Product Analysis</vt:lpstr>
      <vt:lpstr>_ChartData</vt:lpstr>
      <vt:lpstr>Dashboard</vt:lpstr>
      <vt:lpstr>Assumptions</vt:lpstr>
      <vt:lpstr>Assumptions!Print_Area</vt:lpstr>
      <vt:lpstr>Dashboard!Print_Area</vt:lpstr>
      <vt:lpstr>'Product Analysis'!Print_Area</vt:lpstr>
      <vt:lpstr>'Raw Data'!Print_Area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Raihan Abiyyu</cp:lastModifiedBy>
  <cp:revision>1</cp:revision>
  <cp:lastPrinted>2026-03-20T15:24:48Z</cp:lastPrinted>
  <dcterms:created xsi:type="dcterms:W3CDTF">2026-03-18T19:49:23Z</dcterms:created>
  <dcterms:modified xsi:type="dcterms:W3CDTF">2026-03-20T15:40:22Z</dcterms:modified>
  <dc:language>en-US</dc:language>
</cp:coreProperties>
</file>